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D data\uday mestry 01\Software\Stuti Technology\"/>
    </mc:Choice>
  </mc:AlternateContent>
  <xr:revisionPtr revIDLastSave="0" documentId="13_ncr:1_{550114D5-3A6E-40B6-A967-97BB83C6EEBC}" xr6:coauthVersionLast="47" xr6:coauthVersionMax="47" xr10:uidLastSave="{00000000-0000-0000-0000-000000000000}"/>
  <bookViews>
    <workbookView xWindow="-120" yWindow="-120" windowWidth="20730" windowHeight="11040" firstSheet="1" activeTab="1" xr2:uid="{00000000-000D-0000-FFFF-FFFF00000000}"/>
  </bookViews>
  <sheets>
    <sheet name="Macro1" sheetId="12" state="hidden" r:id="rId1"/>
    <sheet name="Agreement detail (R)" sheetId="9" r:id="rId2"/>
    <sheet name="SD location" sheetId="11" state="hidden" r:id="rId3"/>
    <sheet name="Sheet1" sheetId="10" state="hidden" r:id="rId4"/>
    <sheet name="Agreement detail" sheetId="5" state="hidden" r:id="rId5"/>
    <sheet name="Fumigation" sheetId="7" state="hidden" r:id="rId6"/>
    <sheet name="Security service agreement" sheetId="6" state="hidden" r:id="rId7"/>
    <sheet name="Surveyor" sheetId="8" state="hidden" r:id="rId8"/>
  </sheets>
  <definedNames>
    <definedName name="_xlnm._FilterDatabase" localSheetId="4" hidden="1">'Agreement detail'!$A$1:$P$130</definedName>
    <definedName name="_xlnm._FilterDatabase" localSheetId="1" hidden="1">'Agreement detail (R)'!$C$88:$M$131</definedName>
    <definedName name="_xlnm._FilterDatabase" localSheetId="3" hidden="1">Sheet1!$A$1:$G$58</definedName>
    <definedName name="_Hlk80374828" localSheetId="4">'Agreement detail'!$J$103</definedName>
    <definedName name="_Hlk80374828" localSheetId="1">'Agreement detail (R)'!#REF!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8" i="9" l="1"/>
  <c r="AB157" i="9"/>
  <c r="L157" i="9"/>
  <c r="L156" i="9"/>
  <c r="L155" i="9"/>
  <c r="L154" i="9" l="1"/>
  <c r="L153" i="9"/>
  <c r="L152" i="9" l="1"/>
  <c r="L151" i="9"/>
  <c r="L150" i="9" l="1"/>
  <c r="L149" i="9"/>
  <c r="L148" i="9"/>
  <c r="L147" i="9"/>
  <c r="L146" i="9"/>
  <c r="L2" i="9" l="1"/>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I80" i="5" l="1"/>
  <c r="I31" i="5"/>
  <c r="I2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tc={C708C618-CA56-4F26-96E7-A06DB1C9F507}</author>
  </authors>
  <commentList>
    <comment ref="A16" authorId="0" shapeId="0" xr:uid="{C708C618-CA56-4F26-96E7-A06DB1C9F507}">
      <text>
        <t>[Threaded comment]
Your version of Excel allows you to read this threaded comment; however, any edits to it will get removed if the file is opened in a newer version of Excel. Learn more: https://go.microsoft.com/fwlink/?linkid=870924
Comment:
    refer old agreement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tc={4E42C886-E416-4281-AE7C-8123499A88A9}</author>
    <author>tc={EF2C03C0-B8E4-44FF-ADBD-D0011508BAB9}</author>
    <author>tc={1F58AC5D-9840-430B-A30A-F4942EBF8AFC}</author>
    <author>tc={707DB0C5-3742-4ED0-A4C6-2FE3A8EEF745}</author>
  </authors>
  <commentList>
    <comment ref="D119" authorId="0" shapeId="0" xr:uid="{4E42C886-E416-4281-AE7C-8123499A88A9}">
      <text>
        <t>[Threaded comment]
Your version of Excel allows you to read this threaded comment; however, any edits to it will get removed if the file is opened in a newer version of Excel. Learn more: https://go.microsoft.com/fwlink/?linkid=870924
Comment:
    refer old agreement</t>
      </text>
    </comment>
    <comment ref="D122" authorId="1" shapeId="0" xr:uid="{EF2C03C0-B8E4-44FF-ADBD-D0011508BAB9}">
      <text>
        <t>[Threaded comment]
Your version of Excel allows you to read this threaded comment; however, any edits to it will get removed if the file is opened in a newer version of Excel. Learn more: https://go.microsoft.com/fwlink/?linkid=870924
Comment:
    Port warehouse</t>
      </text>
    </comment>
    <comment ref="D123" authorId="2" shapeId="0" xr:uid="{1F58AC5D-9840-430B-A30A-F4942EBF8AFC}">
      <text>
        <t>[Threaded comment]
Your version of Excel allows you to read this threaded comment; however, any edits to it will get removed if the file is opened in a newer version of Excel. Learn more: https://go.microsoft.com/fwlink/?linkid=870924
Comment:
    port wh</t>
      </text>
    </comment>
    <comment ref="D125" authorId="3" shapeId="0" xr:uid="{707DB0C5-3742-4ED0-A4C6-2FE3A8EEF745}">
      <text>
        <t>[Threaded comment]
Your version of Excel allows you to read this threaded comment; however, any edits to it will get removed if the file is opened in a newer version of Excel. Learn more: https://go.microsoft.com/fwlink/?linkid=870924
Comment:
    port wh</t>
      </text>
    </comment>
  </commentList>
</comments>
</file>

<file path=xl/sharedStrings.xml><?xml version="1.0" encoding="utf-8"?>
<sst xmlns="http://schemas.openxmlformats.org/spreadsheetml/2006/main" count="3909" uniqueCount="1297">
  <si>
    <t>ARIHANT VEGOILS PRIVATE LIMITE</t>
  </si>
  <si>
    <t>HARBHOLE WAREHOUSE</t>
  </si>
  <si>
    <t>N.K LOGISTICS</t>
  </si>
  <si>
    <t>Plant</t>
  </si>
  <si>
    <t>Name</t>
  </si>
  <si>
    <t>Sr. No.</t>
  </si>
  <si>
    <t>Location</t>
  </si>
  <si>
    <t xml:space="preserve">JLS GODOWN </t>
  </si>
  <si>
    <t xml:space="preserve">TCP LIMITED </t>
  </si>
  <si>
    <t xml:space="preserve">PRAMUKH LOGISTICS-S.No-149 </t>
  </si>
  <si>
    <t xml:space="preserve">Vedha &amp; Baskar Warehouse </t>
  </si>
  <si>
    <t xml:space="preserve">CWC, AMBATUR </t>
  </si>
  <si>
    <t xml:space="preserve">PRAMUKH RUBY </t>
  </si>
  <si>
    <t xml:space="preserve">MANGALMURTI WAREHOUSE </t>
  </si>
  <si>
    <t xml:space="preserve">EDELWEISS-VARUN INDUSTRIES </t>
  </si>
  <si>
    <t xml:space="preserve">EDELWEISS- JD, DAHISAR MORI </t>
  </si>
  <si>
    <t xml:space="preserve">CARETAKERS KARRM WH </t>
  </si>
  <si>
    <t xml:space="preserve">CARETAKERS BHALLA WH </t>
  </si>
  <si>
    <t xml:space="preserve">CARETAKERS GARIB NAWAZ WH </t>
  </si>
  <si>
    <t xml:space="preserve">BHASKAR WH </t>
  </si>
  <si>
    <t xml:space="preserve">BALAJI WH </t>
  </si>
  <si>
    <t xml:space="preserve">CONTINENTAL WH </t>
  </si>
  <si>
    <t xml:space="preserve">NBHC - DEEPA GWALANI </t>
  </si>
  <si>
    <t xml:space="preserve">SHETHJI - SHAYADRI FOUNDATION </t>
  </si>
  <si>
    <t xml:space="preserve">SHETHJI- SHREYAS TRADING,ANAND </t>
  </si>
  <si>
    <t xml:space="preserve">SHEETAL COLD STORAGE </t>
  </si>
  <si>
    <t xml:space="preserve">SHREE SIDDHIVINAYAK WH </t>
  </si>
  <si>
    <t xml:space="preserve">SHREE SIDDHIVINAYAK DIAMOND WH </t>
  </si>
  <si>
    <t xml:space="preserve">Mangalam Trading Co </t>
  </si>
  <si>
    <t xml:space="preserve">SD WH </t>
  </si>
  <si>
    <t xml:space="preserve">SHRI CHAMUNDA- KHOT BANGLOW </t>
  </si>
  <si>
    <t xml:space="preserve">SNB WH </t>
  </si>
  <si>
    <t xml:space="preserve">TRIMURTI WH </t>
  </si>
  <si>
    <t xml:space="preserve">MEHTA ICE &amp; COLD STORAGE </t>
  </si>
  <si>
    <t xml:space="preserve">Anand Regional Co-op </t>
  </si>
  <si>
    <t xml:space="preserve">Shethji - Mumbai WH </t>
  </si>
  <si>
    <t xml:space="preserve">RAJ WAREHOUSE </t>
  </si>
  <si>
    <t xml:space="preserve">Go Green WH-Neha Agro Ind </t>
  </si>
  <si>
    <t xml:space="preserve">NCML - JOGINDER WH </t>
  </si>
  <si>
    <t xml:space="preserve">SHIVA SUPREME COLD ST </t>
  </si>
  <si>
    <t xml:space="preserve">TMT COLD STORAGE PVT LTD </t>
  </si>
  <si>
    <t xml:space="preserve">Jetha Gopalji Godrej Wh </t>
  </si>
  <si>
    <t xml:space="preserve">STAR AGRI WH-Shop No-74 </t>
  </si>
  <si>
    <t>DEWAS</t>
  </si>
  <si>
    <t>MUMBAI</t>
  </si>
  <si>
    <t>CHENNAI</t>
  </si>
  <si>
    <t xml:space="preserve">AMBATUR </t>
  </si>
  <si>
    <t>MUNDRA</t>
  </si>
  <si>
    <t>GANDHIDHAM</t>
  </si>
  <si>
    <t>DAHISAR MORI</t>
  </si>
  <si>
    <t>AKOLA</t>
  </si>
  <si>
    <t>ANAND</t>
  </si>
  <si>
    <t>DELHI</t>
  </si>
  <si>
    <t xml:space="preserve">From </t>
  </si>
  <si>
    <t>To</t>
  </si>
  <si>
    <t>Storage charges</t>
  </si>
  <si>
    <t>Labour Charges</t>
  </si>
  <si>
    <t>Rs. 5</t>
  </si>
  <si>
    <t>Rs. 4.50</t>
  </si>
  <si>
    <t>Bagged Cargo Rs. 6, Bulk Cargo Rs. 9 and Varai Rs. 800/Container</t>
  </si>
  <si>
    <t>Bagged Cargo Rs. 6, Bulk Cargo Rs. 9 + Rs. 3 and Varai Rs. 800/Container</t>
  </si>
  <si>
    <t>Service Provider</t>
  </si>
  <si>
    <t>Caretakers</t>
  </si>
  <si>
    <t>Trimurti Warehouse</t>
  </si>
  <si>
    <t>Garg Warehouse</t>
  </si>
  <si>
    <t>Rs. 4.50 = 50 Kg Bag, Rs. 3.50 = 30 Kg Bag</t>
  </si>
  <si>
    <t>Rs. 2.75 = 50 Kg Bag, Rs. 2.00 = 30 Kg Bag, Rs. 35.00 = Varai</t>
  </si>
  <si>
    <t>Pramukh Logistics</t>
  </si>
  <si>
    <t>MM Logistics - Taloja</t>
  </si>
  <si>
    <t>Taloja</t>
  </si>
  <si>
    <t>Rs. 4.50 = 50 Kg Bag</t>
  </si>
  <si>
    <t>Rs. 6 = 50 Kg, Bagged Cargo, Rs. 100 = Loose Cargo and Rs. 800 = Container Varai</t>
  </si>
  <si>
    <t xml:space="preserve">Shethji Warehousing Pvt Ltd. </t>
  </si>
  <si>
    <t>Rs. 75 PMT</t>
  </si>
  <si>
    <t>Rs. 65 PMT</t>
  </si>
  <si>
    <t>Dwarkesh Enterprise</t>
  </si>
  <si>
    <t>Davda</t>
  </si>
  <si>
    <t>Rs. 80 PMT</t>
  </si>
  <si>
    <t>Navjivan Warehousing Corporation</t>
  </si>
  <si>
    <t>Sandhana Dist- Kheda</t>
  </si>
  <si>
    <t>Rs. 5 = 50 Kg</t>
  </si>
  <si>
    <t>50 Kg Rs. 6 Bagged Cargo, Bulk Cargo Rs. 9, Varai Rs. 800 Container</t>
  </si>
  <si>
    <t>SNB Warehouse</t>
  </si>
  <si>
    <t>Rs. 4.50 = 50 Kg</t>
  </si>
  <si>
    <t>50 Kg Bagged Cargo - Rs. 3, Bulk Cargo - Rs. 10, Varai - Rs. 700/Container</t>
  </si>
  <si>
    <t>Harbhole Warehouse</t>
  </si>
  <si>
    <t>50 Kg Rs. 3 Bagged Cargo, Bulk Cargo Rs. 10, Varai Rs. 700 Container</t>
  </si>
  <si>
    <t>Shri Chamunda Warehouse</t>
  </si>
  <si>
    <t>Shivshakti Warehouse</t>
  </si>
  <si>
    <t>Dahisarmore</t>
  </si>
  <si>
    <t>Remark</t>
  </si>
  <si>
    <t>MEHTA GROUP</t>
  </si>
  <si>
    <t>Latur</t>
  </si>
  <si>
    <t>Gujarat</t>
  </si>
  <si>
    <t>delhi</t>
  </si>
  <si>
    <t>Legume</t>
  </si>
  <si>
    <t>Hari &amp; Co.</t>
  </si>
  <si>
    <t>Thoothukudi</t>
  </si>
  <si>
    <t>ETC</t>
  </si>
  <si>
    <t xml:space="preserve">Rs. 90 PMT </t>
  </si>
  <si>
    <t>Rs. 75/PMT Monthly Peak Stock Basis Fumigation : To be arranged by Go Green, Ccharges included in above rate</t>
  </si>
  <si>
    <t>Labour to be arrange by go green at Rs. 65/PMT - 50 KG Bag, Rs. 85/PMT - 80 kg Bag ETC shall make Payment to Go Green for Labour charges</t>
  </si>
  <si>
    <t>Go Green</t>
  </si>
  <si>
    <t>Rs. 7.50 for 50 Kg Bags</t>
  </si>
  <si>
    <t>Rs. 5 for 50 KG Bags, Bulk Charges Rs. 180 Per Ton</t>
  </si>
  <si>
    <t>SIP Dhanashekhar &amp; Co.</t>
  </si>
  <si>
    <t>Rs. 12.50 for 50 Kg Bags</t>
  </si>
  <si>
    <t>CWC, Roypur AM WH</t>
  </si>
  <si>
    <t>Rs. 10.60 for 50 Kg Bags</t>
  </si>
  <si>
    <t>Rs. 7.50 for 50 KG Bags</t>
  </si>
  <si>
    <t>Rs. 5.00 for 50 Kg Bags</t>
  </si>
  <si>
    <t>Rs. 4.50 for 50 KG Bags</t>
  </si>
  <si>
    <t>Rs. 8.13 for 50 Kg Bags</t>
  </si>
  <si>
    <t>Rs. 6 for 50 KG Bags, Bulk Charges Rs. 170 Per Ton</t>
  </si>
  <si>
    <t>Bagged Cargo Rs. 6, Bulk Cargo Rs. 9, Varai Rs. 800/Container</t>
  </si>
  <si>
    <t>Shree Siddhivinayak Logistics</t>
  </si>
  <si>
    <t>Rs. 130/PMT</t>
  </si>
  <si>
    <t>Bagged Cargo Rs. 3, Bulk Cargo Rs. 9, Varai Rs. 800/Container</t>
  </si>
  <si>
    <t>Edelweiss</t>
  </si>
  <si>
    <t>Rs. 67 PMT</t>
  </si>
  <si>
    <t>Thru Labour Contractor - Santosh Arun Kadam, 30 Kg Rs. 1.20 &amp; Rebagging Rs. 7, 50Kg Rs. 1.50 &amp; Rebagging Rs. 8, 100Kg Rs. 3</t>
  </si>
  <si>
    <t>Rs. 95 PMT Yellow Peas, Rs. 90 PMT Lentil</t>
  </si>
  <si>
    <t>Bulk Cargo Rs. 315 PMT Including Packing/Stacking/Stitching</t>
  </si>
  <si>
    <t>Edelweiss - Riddhi WH</t>
  </si>
  <si>
    <t>Mumbai</t>
  </si>
  <si>
    <t>Agreement execute but not signed by Edelweiss, mail send by Swapnali to Seema Jagnani on 17-08-2020</t>
  </si>
  <si>
    <t>Edelweiss - Gauri WH</t>
  </si>
  <si>
    <t>Edelweiss - Baban Vadekya Walilkar</t>
  </si>
  <si>
    <t>Edelweiss - Pooja Vikram Heda</t>
  </si>
  <si>
    <t>Thru Labour Contractor - Nilesh Mundhe 50 Kg &amp; 100Kg - Rs 120 PMT, 60KG &amp; 65 Kg Rs 140 PMT</t>
  </si>
  <si>
    <t>Edelweiss - Harekrishna WH</t>
  </si>
  <si>
    <t xml:space="preserve">EDELWEISS - Venkatesh Agro Warehouse </t>
  </si>
  <si>
    <t>Edelweiss - Srikrishna WH</t>
  </si>
  <si>
    <t>Rs. 55 PMT</t>
  </si>
  <si>
    <t>Thru Local Labour Contractors</t>
  </si>
  <si>
    <t>Edelweiss - Prem WH</t>
  </si>
  <si>
    <t>Edelweiss - New Agarwal WH Corporation</t>
  </si>
  <si>
    <t>Guna MP</t>
  </si>
  <si>
    <t>Edelweiss - Akshat Associate</t>
  </si>
  <si>
    <t>Rs. 95 PMT</t>
  </si>
  <si>
    <t>Edelweiss - Gandhidham Developers Pvt. Ltd.</t>
  </si>
  <si>
    <t>Edelweiss - Yes Enterprises</t>
  </si>
  <si>
    <t>Edelweiss - West Coast Logistics</t>
  </si>
  <si>
    <t>Edelweiss - SK Impex</t>
  </si>
  <si>
    <t>Edelweiss - Anil B Gwalani</t>
  </si>
  <si>
    <t>Rs. 100/PMT</t>
  </si>
  <si>
    <t>Edelweiss - Jay B Gwalani</t>
  </si>
  <si>
    <t>Hind Terminals Pvt Ltd</t>
  </si>
  <si>
    <t>Hind Terminals Pvt. Ltd. C/o Crescent Cold Storage Pvt. Ltd.</t>
  </si>
  <si>
    <t>Navi Mumbai</t>
  </si>
  <si>
    <t>Rs. 21 for 50 Kg Bags, Rs. 15 for 30 Kg bags</t>
  </si>
  <si>
    <t xml:space="preserve">For 50 KG Rs. 5.50 Unloading Rs. 5.50 Loading Rs 3.50 Varai Rs. 3.50 Thapi, For 30 Kg </t>
  </si>
  <si>
    <t>Notary</t>
  </si>
  <si>
    <t>NO</t>
  </si>
  <si>
    <t>Third party Labour contrecter santosh arun kadam Loading /Unloading -Rs.-3/30kg bag &amp; loading /unlaoding -Rs.-4.10 /50kg bag</t>
  </si>
  <si>
    <t>NBHC</t>
  </si>
  <si>
    <t>YES</t>
  </si>
  <si>
    <t>DONE</t>
  </si>
  <si>
    <t>Go Green WH-Anand Regional Co-operation Oil Seeds Growers Union Ltd.</t>
  </si>
  <si>
    <t>Rs. 65/PMT Monthly Peak Stock Basis Fumigation : To be arranged by Go Green, Ccharges included in above rate</t>
  </si>
  <si>
    <t>Included in the storage charges</t>
  </si>
  <si>
    <t>Pioneer security &amp; Allied Services</t>
  </si>
  <si>
    <t>Security Amt.</t>
  </si>
  <si>
    <t>Security Guard shift</t>
  </si>
  <si>
    <t>12 Hrs.</t>
  </si>
  <si>
    <t>NCML</t>
  </si>
  <si>
    <t xml:space="preserve">Rs.6.50 50kg per bags </t>
  </si>
  <si>
    <t>loading &amp; unloading charges - Rs,3.50 50kg per bags</t>
  </si>
  <si>
    <t>Jetha bhai Gopal ji wh</t>
  </si>
  <si>
    <t>Rs.15.50 /30kg &amp; Rs.22 /50kg</t>
  </si>
  <si>
    <t>POLAR COLD STORAGE</t>
  </si>
  <si>
    <t>ELAF COLD STORAGE</t>
  </si>
  <si>
    <t>Rs.12.50 /30kg &amp; Rs.18 /50kg</t>
  </si>
  <si>
    <t>Rs.9 /30kg &amp; Rs.12 / 50kg</t>
  </si>
  <si>
    <t xml:space="preserve">Rs.5.50 /50kg </t>
  </si>
  <si>
    <t>Rs.3.50/50kg &amp; Rs.3 / 30kg</t>
  </si>
  <si>
    <t>star agri wearhouse</t>
  </si>
  <si>
    <t>Neeta Madam signature pending</t>
  </si>
  <si>
    <t>Rs. 99PMT Monthly Peak Stock Basis</t>
  </si>
  <si>
    <t>Third party labour contractor Shree Radhey Logistic / PR enterprises Loading/Unloading, packing, Stitching, Stacking Rs. 120/PMT</t>
  </si>
  <si>
    <t>Rs. 8.13/50Kg Bags</t>
  </si>
  <si>
    <t>Rs. 5/ 50Kg Bags</t>
  </si>
  <si>
    <t>SAPTAGIRI WH</t>
  </si>
  <si>
    <t>SRI SRINIVAS LOGISTIC</t>
  </si>
  <si>
    <t>NCML -Jineshwar Trade Pvt Ltd GOD 45B</t>
  </si>
  <si>
    <t>NCML -Jineshwar Trade Pvt Ltd GOD 45A</t>
  </si>
  <si>
    <t>Rs. 92 / PMT</t>
  </si>
  <si>
    <t>Rs. 92 / PMT, 2 Month Lock In Period for 2000 after lock in period billing will be on monthly peak stock basis</t>
  </si>
  <si>
    <t>Krishna kumar Rs 5/ 50-60kg Bags, Rs. 30 / PMT Daala, Rs. 9/- Stiching/Rebagging</t>
  </si>
  <si>
    <t>Graywolf security pvt ltd</t>
  </si>
  <si>
    <t xml:space="preserve">                                                                                                                                                    </t>
  </si>
  <si>
    <t>Hari and co</t>
  </si>
  <si>
    <r>
      <t>GARG WH-</t>
    </r>
    <r>
      <rPr>
        <sz val="9"/>
        <color rgb="FFFF0000"/>
        <rFont val="Bookman Old Style"/>
        <family val="1"/>
      </rPr>
      <t xml:space="preserve">RANGARA COMPOUND </t>
    </r>
  </si>
  <si>
    <t>Om Shri Agro Industries</t>
  </si>
  <si>
    <t>Akola</t>
  </si>
  <si>
    <t>Shyam Industries</t>
  </si>
  <si>
    <t>Haryana</t>
  </si>
  <si>
    <t>ETC AGRO</t>
  </si>
  <si>
    <t>Rs. 5 / 50 Kg bag</t>
  </si>
  <si>
    <t>Loading or unloading - Rs.3.50 / 50 Kg Bag
Bulk Cargo - Rs.10
Varai - Rs 800/Container</t>
  </si>
  <si>
    <t>No</t>
  </si>
  <si>
    <t>Draft Confirmation pending from client 18-03-2021</t>
  </si>
  <si>
    <t>Draft Pending to send client</t>
  </si>
  <si>
    <t>Rs. 80 Per MT per month &amp; fixed quantity of 1900 MT for 2 month and after 2 months billing will be on actual monthly peak stock or minimum 55% of the booked quantity whichever is higher. (Warehousing charges are including Security service, Fumigation services &amp; Dunnage charges)</t>
  </si>
  <si>
    <t>Rs. 65 per MT for 50 Kgs Bags and Rs.90 per MT for 80 Kg bags</t>
  </si>
  <si>
    <t>no</t>
  </si>
  <si>
    <t>OLD RATES:Existing cargo Rs 4.5/50kg bag for existing cargo, NEW RATES: New arriving cargo wef.01.07.2020 Rs. 5/50kg bag</t>
  </si>
  <si>
    <t>OLD RATES:Rs. 6/50kg bagged cargo Rs. 10/loose cargo Rs. 800/Cont. Varai NEW RATES New arriving cargo wef 01.07.2020 Rs.7/50kg bagged Rs.12/50kg loose Varai- Rs800/Container</t>
  </si>
  <si>
    <t>OLD RATES:Rs. 6/50kg bagged cargo Rs. 10/loose cargo Rs. 800/Cont. Varai NEW RATES New arriving cargowef 01.07.2020 Rs.7/50kg bagged Rs.12/50kg loose Varai-Rs800/Container</t>
  </si>
  <si>
    <t>Rs.75.00 + GST Fixed quantity of 1500 MT for 1 month and after 1 months billing will be on actual monthly peak stock or minimum 55% of the booked quantity whichever is higher. (Warehousing charges are including Security service, Fumigation services &amp; Dunnage charges)</t>
  </si>
  <si>
    <t>Rs. 65 per MT for 50 Kgs Bags Bags and Rs.90 per MT for 80 Kg bags</t>
  </si>
  <si>
    <t>SHETHJI JASANI GONDAL WH</t>
  </si>
  <si>
    <t>Gondal</t>
  </si>
  <si>
    <t>Rs.70 per MT per month (Warehousing charges are including Security service, Fumigation services &amp; Dunnage charges)</t>
  </si>
  <si>
    <t>Rs.4.00 unloading and Rs,4,00 loading of 50 Kgs and Rs.8.00 for 80 Kgs loading and Rs.8 for unloading</t>
  </si>
  <si>
    <t>GO GREEN – 
ManishKumar Jamnadas Modi Warehouse</t>
  </si>
  <si>
    <r>
      <t xml:space="preserve">Rs 70/- Per MT Per Month including Quality and Fumigation Charges. </t>
    </r>
    <r>
      <rPr>
        <sz val="10"/>
        <rFont val="Tahoma"/>
        <family val="2"/>
      </rPr>
      <t>Billing will be on Weekly Peak Stock</t>
    </r>
    <r>
      <rPr>
        <sz val="10"/>
        <color rgb="FF000000"/>
        <rFont val="Book Antiqua"/>
        <family val="1"/>
      </rPr>
      <t>.</t>
    </r>
  </si>
  <si>
    <t xml:space="preserve">Loading Rs.80 Per Mt, Unloading Rs.80 Per Mt, Rebagging (Spillage Collection) Charges Rs.7 Per Bag. Labour to be arranged by Go Green and Payment will be by ETC.  
</t>
  </si>
  <si>
    <t>Star Agri - Durga Udyog</t>
  </si>
  <si>
    <t>Rajkot</t>
  </si>
  <si>
    <t>Star Agri - Pooja Heda</t>
  </si>
  <si>
    <t>75 PMT including fumigation charges, Quality Charges : Rs. 400 Per Truck. Reservation quantity for both warehouse 3000 MT Pooja Heda Warehouse (2000 MT) &amp; Durga Udyog Warehouse (1000 MT) for 1 Month Lock in period</t>
  </si>
  <si>
    <t xml:space="preserve">1) Loading &amp; Unloading Per Bags 50 Kg - For Local Vehicles Labour Charges - Rs. 6 Per Bags &amp; for Out Station Vehicles Labour Charges - Rs.3 Per Bags &amp; Varai Upto 15 Ton Rs. 60 /- MT &amp; above 15 Ton Rs. 70 /- MT 
2) Loading &amp; Unloading Per Bags 100 Kg - For Local Vehicles Labour Charges - Rs.12 Per Bags &amp; for Out Station Vehicles Labour Charges - Rs. 6 Per Bags &amp; Varai Upto 15 Ton Rs. 60 /- MT &amp; above 15 Ton Rs. 70 /- MT </t>
  </si>
  <si>
    <t>Draft Confirmation pending from client 26-02-2021</t>
  </si>
  <si>
    <t>Go Green - Mini Agencies</t>
  </si>
  <si>
    <t>Ganjbasoda</t>
  </si>
  <si>
    <t>Loading 50-60 KG = Rs.5.25 Per Bag, 100 KG = Rs.7.5 Per Bag and Unloading Loading 50-60 KG = Rs.5.25 Per Bag, Plus Dala charges Per MT Rs. 50 for Loading and Unloading time. So Total  Per MT at Rs. 310 Labour Charges for Loading and Unloading required Daily basis payment. Labour Charges to be paid by transporter on daily basis and he will be charge us accordingly.</t>
  </si>
  <si>
    <t>NBHC -  Jaypal S/O Ranjit</t>
  </si>
  <si>
    <t>Delhi</t>
  </si>
  <si>
    <t xml:space="preserve">Labour charges-Payment to be made directly to labour contractor by ETG on Monthly basis - Loading &amp; Unloading Per Bags 50 Kg - For Local Vehicles Labour Charges - Rs. 6 Per Bags &amp; for Out Station Vehicles Labour Charges - Rs.3 Per Bags &amp; Varai Upto 15 Ton Rs. 60 /- MT &amp; above 15 Ton Rs. 70 /- MT </t>
  </si>
  <si>
    <t>Star Agri -  BRIJMOHAN &amp; COMPANY</t>
  </si>
  <si>
    <t>75 PMT including fumigation charges &amp; Quality Reservation quantity for both warehouse 1000 MT for 1 Month Lock in period billing cycle from 23 march 21 to 22 April 21 after reservation billing will be Monthly peak stock basis</t>
  </si>
  <si>
    <t>INLINE SHIPPING-Rise Enterpris</t>
  </si>
  <si>
    <t>Rs.5 Per bag Per Month</t>
  </si>
  <si>
    <t>Labour to be arranged by Inline Shipping Agency Pvt. Ltd. at Rs. 3.5 Loading &amp; Rs.3.5 Unloading, Varai Rs. 800 20ft &amp; Rs. 1600 40ft container, Bulk packing 50kg Rs. 10.50 per bags (Filling/stitching/stacking). ETC shall make payment to Inline Shipping Agency Pvt. Ltd. for Labour charges</t>
  </si>
  <si>
    <t>Inline Shipping</t>
  </si>
  <si>
    <t>Rs. 72 PMT, 1000 MT Reservation for 2 Months After reservation billing will be on fortnightly peak stock basis; Go Green arrange Empty bags accordingly they will charges to ETC.</t>
  </si>
  <si>
    <t>Agreement draft send to client</t>
  </si>
  <si>
    <t>Labour charges – arrangement by NBHC and Payment to be made directly to labour contractor by ETC.
Rs 3.30 per bag for loading/unloading for 50-60 kg bag size
Rs 30 PMT for outside vehicles and for local it is Rs 15 PMT towards dala
Rs 6 per bag for spillage collection and stacking</t>
  </si>
  <si>
    <t>92 PMT including fumigation charges &amp; Quality Reservation quantity for both warehouse 1000 MT for 1 Month Lock in period billing cycle from 20 March 21 to 19 April 21 after reservation billing will be Monthly peak stock basis, No any back to back reservation.</t>
  </si>
  <si>
    <t>Go Green - Radhe Krishna Warehousing</t>
  </si>
  <si>
    <t>Rs 70/- Per MT Per Month including Quality and Fumigation Charges. Billing will be on Weekly Peak Stock.</t>
  </si>
  <si>
    <t>Paras Godown</t>
  </si>
  <si>
    <t>Vardhaman Godown no 4</t>
  </si>
  <si>
    <t>Keshav Godown no 5</t>
  </si>
  <si>
    <t>Mundra</t>
  </si>
  <si>
    <t>Rs.140/- Pmt Per Month</t>
  </si>
  <si>
    <t>Rs.170/- Pmt Unloading/Loading</t>
  </si>
  <si>
    <t>Srinath Agencies</t>
  </si>
  <si>
    <t>Greenfield</t>
  </si>
  <si>
    <t>Star Agri - KAMAL NARAYAN WAREHOUSE</t>
  </si>
  <si>
    <t>Storage Charges as 75 PMT including fumigation charges &amp; Quality, billing will be Fortnightly peak stock basis. No reservatio</t>
  </si>
  <si>
    <t>Labour charges-Payment to be made directly to labour contractor by ETG on Monthly basis, Labour arrangement by Star Agri- Loading &amp; Unloading Per Bags 50 Kg - For Local Vehicles Labour Charges - Rs. 6 Per Bags &amp; Varai Upto 15 Ton Rs. 60 /- MT &amp; above 15 Ton Rs. 70 /- MT</t>
  </si>
  <si>
    <t>Star Agri - Bansal Solvent Industries Warehouse</t>
  </si>
  <si>
    <t>storage charges 75 per MT per Month including fumigation, 500 MT reservation for 1 month Lock in period from 25-06-2021 to 24-07-2021 after lock in billing will be fortnightly peak stock basis. First fumigation payable by ETC as per 12 Gm per MT which cost at Rs. 15 Per MT plus applicable taxes</t>
  </si>
  <si>
    <t>NCML - Kusum Lata</t>
  </si>
  <si>
    <t>Rs 92/ PMT Including Fumigation charges on monthly peak stock basis</t>
  </si>
  <si>
    <t>Krishan Kumar, Rs 5/- for 50/60 kg Bag, Rs 30/PMT Dala charges, Rs. 9/-Stitching/Rebagging</t>
  </si>
  <si>
    <t>Mumbai Location</t>
  </si>
  <si>
    <t>Fumigation Rate</t>
  </si>
  <si>
    <t>14 Per MT</t>
  </si>
  <si>
    <t>Chennai Location</t>
  </si>
  <si>
    <t>19 Per MT</t>
  </si>
  <si>
    <t>ETC Agro -  Roorke (SD)</t>
  </si>
  <si>
    <t>ETC Agro - Zirakpur (SD)</t>
  </si>
  <si>
    <t>ETC Agro - Ghaziabad (SD)</t>
  </si>
  <si>
    <t>ETC Agro - Lucknow (SD)</t>
  </si>
  <si>
    <t>ETC Agro -Dharamsons (SD)</t>
  </si>
  <si>
    <t>13500 + GST</t>
  </si>
  <si>
    <t>9000 + GST</t>
  </si>
  <si>
    <t>11250 + GST</t>
  </si>
  <si>
    <t>25000 + GST</t>
  </si>
  <si>
    <t>ETC Agro -Gorakhpur (SD)</t>
  </si>
  <si>
    <t>Agreement pending for draft</t>
  </si>
  <si>
    <t>Sabari Logistics</t>
  </si>
  <si>
    <t>Thirurani warehouse</t>
  </si>
  <si>
    <t>Status</t>
  </si>
  <si>
    <t>LIVE</t>
  </si>
  <si>
    <t>CLOSE</t>
  </si>
  <si>
    <t>DISPUTED</t>
  </si>
  <si>
    <t>Go Green - Gauri Warehouse</t>
  </si>
  <si>
    <t>Go Green - Baban Warehouse</t>
  </si>
  <si>
    <t>Inline Shipping - Sadguru Warehouse</t>
  </si>
  <si>
    <t>Draft send to Go Green for confirmation</t>
  </si>
  <si>
    <t>Rs.5.25/- per bag 50 KG Billing will be a fortnightly peak stock basis. The Commodity Insurance and Fumigation will be by ETC.</t>
  </si>
  <si>
    <t>1) Unloading Charges (50kg) = Rs.3.50 per Bag, 2) Loading Charges (50 kg) = Rs.3.50 per Bag, 3) Varai Charges =
Rs.800 Varai Charges per Container 20 Ft (24 to 30 MT)
4) Rs.40 per Ton Thapi Charges will pay by Transporter arrange by ETC 5) Bulk Container = Rs. 10.00 Per Bag (Stitching, Filling &amp; Thapi)
Labour to be arranged by Go Green and Payment will be by ETC.</t>
  </si>
  <si>
    <t>Rs. 5.0 Per Bag Per Month(Rs 2.50 Fortnightly rolling cycle for 50 kgs Bags if Cargo stored more than 15 days (Monthly billing shall be raise) 
And Rs. 3.00 Per Bag Per  for Fifteen days storage charges against stock which shall be lifted within 15 days.</t>
  </si>
  <si>
    <t>Unloading Charges (50kg)	Rs.3.50 per Bag
Loading Charges (50 kg)	Rs.3.50 per Bag
Varai Charges 	Rs.800 Varai Charges per Container 20 Ft
Thapi Charges 	Rs.40 per Ton Thapi Charges will pay by Transporter arrange by ETC
Bulk Container	Rs.10.00 Per Bag (Stitching, Filling &amp; Thapi)</t>
  </si>
  <si>
    <t>NCML- Meenu Chhabra Godown No 7B</t>
  </si>
  <si>
    <t>NCML- Balbir Kumar Kapoor &amp; Satya Prakash Bansal Godown no 4</t>
  </si>
  <si>
    <t>NCML- Suresh Kumar Chhabra Godown No 7</t>
  </si>
  <si>
    <t>NCML- Shilpi Chhabra Godown no 7A</t>
  </si>
  <si>
    <t>NCML- HAWA SINGH, JOGINDER SINGH &amp; SATPAL Godown no 8</t>
  </si>
  <si>
    <t>Stock Nil</t>
  </si>
  <si>
    <r>
      <t>Rs 93/ PMT Including Fumigation charges on</t>
    </r>
    <r>
      <rPr>
        <sz val="10"/>
        <rFont val="Calibri"/>
        <family val="2"/>
      </rPr>
      <t xml:space="preserve"> 1 month lock in period from 20-08-2021 to 19-09-2021. After lock in billing will be Monthly basis.</t>
    </r>
  </si>
  <si>
    <t>AGREEMENT HARD COPY WITH NCML FOR SIGNATURE</t>
  </si>
  <si>
    <t>Star Agri - Mumbai Warehouse</t>
  </si>
  <si>
    <t xml:space="preserve">Storage Charges: Rs. 5.50 Per Bag upto 50 KGS PP Bag, 
</t>
  </si>
  <si>
    <t>Loading: Rs. 3.50 Per Bag, Unloading: Rs. 3.50 Per Bag upto 50 KGS PP Bag
Loading: Rs. 3 Per Bag, Unloading: Rs. 3 Per Bag upto 30 KGS PP Bag, Warai Charges 800 Rs. Per 20ft Container &amp; 1600 Rs. Per 40ft Container.
Repacking and Pala Charges: Rs. 10 Per bag</t>
  </si>
  <si>
    <t>Agreement draft pending</t>
  </si>
  <si>
    <t>GO GREEN – 
Baban Warehouse Ch No 1</t>
  </si>
  <si>
    <t>1) Unloading Charges (50kg) = Rs.3.50 per Bag, 2) Loading Charges (50 kg) = Rs.3.50 per Bag, 3) Varai Charges  = 
Rs.800 Varai Charges per Container 20 Ft (24 to 30 MT)
4) Rs.40 per Ton Thapi Charges will pay by Transporter arrange by ETC 5) Bulk Container = Rs. 10.00 Per Bag (Stitching, Filling &amp; Thapi)</t>
  </si>
  <si>
    <t>Shethji Warehousing and Logistics Pvt. Ltd.</t>
  </si>
  <si>
    <t>Rs. 75/- Per MT Per month Plus GST 5%</t>
  </si>
  <si>
    <t>Rs. 13/- Per Bag (50 Kg Bag) Unloading and Rebagging,  Sticker, Stitching, stacking, Sampling, Loading and Warai.</t>
  </si>
  <si>
    <t>agreement send to client for signature</t>
  </si>
  <si>
    <t>Shethji Warehousing - Shree Cleaning &amp; Sortex</t>
  </si>
  <si>
    <r>
      <t xml:space="preserve">Rs. 15/- Per Bag (50 Kg Bag) </t>
    </r>
    <r>
      <rPr>
        <sz val="11"/>
        <rFont val="Calibri"/>
        <family val="2"/>
      </rPr>
      <t>including Unloading and Re-bagging into bigger bags, Affixing Sticker, Stitching, stacking, Sampling, Loading and Warai.</t>
    </r>
  </si>
  <si>
    <t>Loading &amp; Unloading Rs 5/- for 50/60 kg Bag,  Rebagging /Stitching/Stacking Rs. 9/- as per</t>
  </si>
  <si>
    <t>Star Agri - Ravinder Mann warehouse</t>
  </si>
  <si>
    <t>Star Agri -Ram Kishan warehouse</t>
  </si>
  <si>
    <t>Storage Charges at Rs. 90 Per MT for 400 MT reservation with effect from 08-11-2021 to 07-01-2022 for 2 Month after reservation billing will be fortnightly peak stock basis.</t>
  </si>
  <si>
    <t>Storage Charges at Rs. 90 Per MT for 1600 MT reservation with effect from 08-11-2021 to 07-01-2022 for 2 Month after reservation billing will be fortnightly peak stock basis.</t>
  </si>
  <si>
    <t>Rs. 7.50/ 25 to 30 KG Bags &amp;  Rs. 10/50 kg bag</t>
  </si>
  <si>
    <t>Loading Rs. 8/50 kg bag &amp; Unloading Rs. 8/50 kg bag, Bulk Rs. 160/- Per ton</t>
  </si>
  <si>
    <t>Rs. 3300/- Per Container Per Month, Rs.55 PER SQ.METER</t>
  </si>
  <si>
    <t>Loading Rs. 5/50 kg bag &amp; Unloading Rs. 5/50 kg bag, Bulk Rs. 180/- Per Ton</t>
  </si>
  <si>
    <t>Rs. 12500/- Per Container Per Month</t>
  </si>
  <si>
    <t>Loading Rs. 7.50/50 kg bag &amp; Unloading Rs. 7.50/50 kg bag</t>
  </si>
  <si>
    <t>Rs. 3600/- Per Container Per Month, PER DAY Rs.120</t>
  </si>
  <si>
    <t>Loading Rs. 4.50/50 kg bag &amp; Unloading Rs. 4.50/50 kg bag, Bulk Rs. 170/- Per Ton</t>
  </si>
  <si>
    <t xml:space="preserve">SRI VAARI LOGISTICS </t>
  </si>
  <si>
    <t>Address</t>
  </si>
  <si>
    <t>N.K. LOGISTICS, NO. 57, VALLUR VILLAGE, KONDAKARA, CHENNAI - 600120</t>
  </si>
  <si>
    <t>NO.1, 2ND STREET, MGR NAGAR, MADURAMETTUPALAYAM MADAVARAM, CHENNAI - 600060</t>
  </si>
  <si>
    <t>TCP LIMITED NO. 1, BALAKRISHNA STREET, TONDIARPET, CHENNAI - 600081</t>
  </si>
  <si>
    <t>VEDHA WAREHOUSE, INDUSTRIAL ROAD, JAGANATHAPURAM, ALINJIWAKKAM VILLAGE, PONNERI TALUK, CHENNAI - 600102</t>
  </si>
  <si>
    <t>BHASKAR WAREHOUSE, INDUSTRIAL ROAD, JAGANATHAPURAM, ALINJIWAKKAM VILLAGE, PONNERI TALUK, CHENNAI - 600102</t>
  </si>
  <si>
    <t>NO. 459/3A, KATHURVEDU, SEMBIUM REDHILLS ROAD, PUZHAL VILLAGE, CHENNAI - 600066</t>
  </si>
  <si>
    <t>CONTINENTAL WAREHOUSING CORPORATION, NO.687/688, THIRUVOTTIYUR PONEERI HIGH ROAD, GOWNDERPALAYAM, CHENNAI-600120</t>
  </si>
  <si>
    <t>NO. 131, SHAIK MAISTRY STREET, ROYPURAM, CHENNAI, TAMILNADU - 600013</t>
  </si>
  <si>
    <t>SAPTGIRI GODOWN 654 &amp; 499, GNT ROAD, THANDALKALANI, PUZHAL, CHENNAI-600066</t>
  </si>
  <si>
    <t>SRI SRINIVASA LOGISTICS NO. 2/7, KANNIYAMMAN PETTAI, PERUMAL KOIL STREET, ANDARKUPPAM, CHENNAI-600103</t>
  </si>
  <si>
    <t>No.215/1, Jeyaramapuram Road, opp Chandra CFS, Nallur, Minjur, Chennai - 601203.</t>
  </si>
  <si>
    <t>SURVEY NO.104/4, VELLIVOYAL VILLAGE, CHENNAI - 600103</t>
  </si>
  <si>
    <t>NO: 36, PALAVAYAL VILLAGE, SOTHUPAKKAM ROAD, REDHILLS, CHENNAI 600 052.</t>
  </si>
  <si>
    <t>NO.4/203,Ambattur redhills road surapet,  Chennai - 600 066.</t>
  </si>
  <si>
    <t>NO.1,New North, 200 ft Road,Madhavaram, Chennai-600110.</t>
  </si>
  <si>
    <t>Seabonded Warehouse Pvt Ltd</t>
  </si>
  <si>
    <t>WH no - 4, No-4/70, Natesan Salai, Vichoor, Chennai 600103</t>
  </si>
  <si>
    <t>Rs. 3000/- Per Container Per Month, Rs.50 PER SQ.METER per Week</t>
  </si>
  <si>
    <t>Loading Rs. 5.00/50 kg bag &amp; Unloading Rs. 5.00/50 kg bag, Bulk Rs. 170/- Per Ton, Insurance Charges Per Lakh Rs. 15</t>
  </si>
  <si>
    <t>HARE KRISHNA AT. KUMBHARI VILLAGE, AKOLA - 444104</t>
  </si>
  <si>
    <t>Gd No-2, Gut No-251, At Kumbhari,Taluka Akola Distt-Akola -444005 (MH)</t>
  </si>
  <si>
    <t>Godown No-2, Plot No. U 2/1 MIDC, Akola Phase IV, Village-Shivani, Tal-Akola, Dist-Akola, Maharashtra-444004</t>
  </si>
  <si>
    <t>PLOT NO. D-70, MIDC, LATUR, 413512</t>
  </si>
  <si>
    <t>Plot No- N-170,Opp Rosai Spices &amp; Agro Processor MIDC, Phase No-4, Akola -444005 (MH)</t>
  </si>
  <si>
    <t>Godown No. 1A, Survey No. 59/1-B Bhartia Estate, N H No. 6, Ridhora, Tq. Dist Akola-444302, Maharashtra.</t>
  </si>
  <si>
    <t>Survey no 33/1, GUT NO. 103 Mauje Kumbhari TQ, District Akola-444001</t>
  </si>
  <si>
    <t>Bansal Solvent Industries Warehouse, MIDC 4, Akola - 444005.</t>
  </si>
  <si>
    <t xml:space="preserve">NCML - Arihant Udyog </t>
  </si>
  <si>
    <t>Survey No./ Plot no. N-126 MIDC 4 Akola, Tq: Akola, Dist :Akola, Pin :444005</t>
  </si>
  <si>
    <t>storage charges 80 per MT per Month including fumigation, 1000 MT reservation for 2 month Lock in period from 19-11-2021 to 18-01-2022 after lock in billing will be Monthly peak stock basis.</t>
  </si>
  <si>
    <t>Labour charges-Payment to be made directly to labour contractor by ETG on Monthly basis, Labour arrangement by NCML- Loading &amp; Unloading Per Bags 50 Kg - For Local Vehicles Labour Charges - Rs. 6 Per Bags &amp; Varai Upto 15 Ton Rs. 60 /- MT &amp; above 15 Ton Rs. 70 /- MT</t>
  </si>
  <si>
    <t>Need to send agreement draft to client</t>
  </si>
  <si>
    <t>KARRM WAREHOUSE
OLD MUMBRA TALOJA ROAD.BEHIND EKKTA WEIGH BRIDGE. NEAR VIPUL LODGE, PIMPRI</t>
  </si>
  <si>
    <t>BHALLA WAREHOUSE
CLAN CITY (HEX CITY) COMPLEX, MUMBRA TALOJA ROAD, ROHINJAN GAON,TALIKA</t>
  </si>
  <si>
    <t>CARETAKERS –GARIB NAWAZ
SURVEY NO 6, HISSA 1/A, GARIB NAWAZ COMPOUND,
DAHISAR, DIST THANE</t>
  </si>
  <si>
    <t>Execution Date</t>
  </si>
  <si>
    <t>Expiry Date</t>
  </si>
  <si>
    <t>Commencement Date</t>
  </si>
  <si>
    <t>VARUN INDUSTRIES -SURVEY NO 155/1, PLOT NO 23,VILLAGE: KIDANA, GandHIDHAM, CHAMBER NUMBER 1, 2 &amp; 4: 2</t>
  </si>
  <si>
    <t>JD WH SURVEY NO-35/4/A, NEAR EKTA WEIGHBRIDGE, IN FRONT OF VIPUL HOTEL, DAHISAR, DISTRICT THANE- 400612</t>
  </si>
  <si>
    <t>Plot No P-63, MIDC, Harangul-Latur, Maharashtra-413512</t>
  </si>
  <si>
    <t>BABEN VADEKYA WALILKAR SURVEY NO-35/1, 73/1/2, NEAR EKTA WEIGHBRIDGE,INFRONT OF VIPUL HOTEL,DAHISAR,THANE, MUMBAI, PIN CODE 400612</t>
  </si>
  <si>
    <t>SURVEY NO. 119/1-119/2,RANGARA COMPOND, IRANI MASJID, ADIVALI GAON, OLD MUMBAI PUNE HIGHWAY, PANVEL, RAIGAD-410208</t>
  </si>
  <si>
    <t>Rs. 3.5 Loading &amp; Rs. 3.5 Unloading, Rs. 800 for 20 Ft &amp; 1600 for 40 Ft Container, Bulk Packing 50 Kg / 30 Kg Rs. 10 Per Bags (Filling/Stitching/Stacking)</t>
  </si>
  <si>
    <t>Survey No.336/7/5/b, New Survey No. 35 Valivali Dahisar Mori, Mumbra-Panvel Road Thane 400622</t>
  </si>
  <si>
    <t>Rs. 5 (Per 50 Kg Bag)</t>
  </si>
  <si>
    <t>Bagged Cargo - Rs. 3, Bulk Cargo - Rs. 10, Warai - Rs. 800 per Container</t>
  </si>
  <si>
    <t>Godown No 19, NH No. 8, Chikhodra Crossing Dist Anand Gujarat 388320</t>
  </si>
  <si>
    <t>Done</t>
  </si>
  <si>
    <t>Labour Contractor Nilesh Munde Arranged by ETC agro Rate as per quotation</t>
  </si>
  <si>
    <t>Godown no 1, 2, 3, 4 &amp; 5 National Highway 8B, At Kuvadva, Rajkot Gujarat 360003</t>
  </si>
  <si>
    <t>HARBHOLE WAREHOUSE 70/2, SIDDHIVINAYAK ESTATE, NEAR SHRI SIDDHIVINAYAK WEIGH BRIDGE, PIMPRI, DAHISAR MORI, MUMBRA PANVEL ROAD, THANE 400612</t>
  </si>
  <si>
    <t>HRC1 warehouse, 4/29e7, Madurai Bye-Pass Road, Thoothukudi-628006</t>
  </si>
  <si>
    <t>A 47/1, TTC Industrial Area, MIDC, Mahape, Navi-Mumbai-400710 &amp; Plot No A, 107-108, Khairane MIDC, Near SGS, Thane Belapur Road, Mahape, Navi-Mumbai -400710</t>
  </si>
  <si>
    <t>LM Ned Karni Marg, Wadala-East - 400037</t>
  </si>
  <si>
    <t>PLOT NO C-20, MIDC, PAWANE, Navi Mumbai, 400703</t>
  </si>
  <si>
    <t>10-A, MIDC, TURVE, NAVIMUMBAI - 400 705</t>
  </si>
  <si>
    <t>Plot No 46/8, MAFCO Market Yard, Near Punit Chember, Sanpada, Navi Mumbai-400703</t>
  </si>
  <si>
    <t>Mehta Cold storage stamp pending in all pages.</t>
  </si>
  <si>
    <t>Mauli Udhyog</t>
  </si>
  <si>
    <t>Plot No E-12, E-13, Additional MIDC, Latur-413531</t>
  </si>
  <si>
    <t>Agreement Execute but not accepted by NBHC</t>
  </si>
  <si>
    <t>Rs.66/PMT Weekly Peak Stock Basis</t>
  </si>
  <si>
    <t>Ashok B Gwalani</t>
  </si>
  <si>
    <t>Plot No 95, GDIC, Village Drub, Mundra 370401</t>
  </si>
  <si>
    <t>Plot No 97, GDIC, Village Drub, Mundra 370401</t>
  </si>
  <si>
    <t>Kh No 412, 413/1, Extended Lal Dora, Village Hamidpur, Delhi - 110036</t>
  </si>
  <si>
    <t>Kh No 408-409, Extended Lal Dora, Murgi Farm Road, Hamidpur Delhi-110036</t>
  </si>
  <si>
    <t>WH No 2, Survey No. 149/6b, Dhansar, old Mumbra Panvel Road, Tal. Panvel, Dist Raigad</t>
  </si>
  <si>
    <t>Ruby Steel, House No. 1049, Gut No. 134/0.135/1.135/2, Kiravli, Dhansar Gaon, Old Mundra Panvel Road, Tal Panvel, Dist Raigad</t>
  </si>
  <si>
    <t>Santosh Warehousing complex, Survey No. 210, Mouje Dhansar, Behind Santosh Hotel, Old Mundra Panvel Road, Taluka Panvel, Dist Raigad, Taloja-410208</t>
  </si>
  <si>
    <t>SHETHJI-ARIF COMPOUND</t>
  </si>
  <si>
    <t>Godown No 6, City Weighbridge, Arif Comound, Mumbra-taloja Road, DahisarMori, Thane-4000612</t>
  </si>
  <si>
    <t>Navli Road, Jitodia, 342/3, Vil. Jitodia Part, Tal. Anand</t>
  </si>
  <si>
    <t>Davda Chowkdi, National Highway No 8, Vil. Davda, Dist. Kheda Gujarat</t>
  </si>
  <si>
    <t>NH-08, Chikhodhra, Dist-Anand, Gujarat 388320</t>
  </si>
  <si>
    <t>6th Mile, Opp ITI School, Vaso-Palana Road, Sandhana Taluka Matar, Dist Kheda Gujarat</t>
  </si>
  <si>
    <t>Draft Confirmation pending from client 20-03-2021 &amp; 06-10-2021</t>
  </si>
  <si>
    <t>C/O MUMBAI WAREHOUSING SHOP NO. 1010, SURVEY NO. 45, HISSA NO.5 MOHAMMADIA ESTATE, DAHISAR MORI, MUMBRA PANVEL ROAD, NAVI MUMBAI (M CORP.)NR- SHRI SIDDHIVINAYAK WB THANE 400612</t>
  </si>
  <si>
    <t>C/O SADRUDDIN STATE, SAHYADRI FOUNDATION, MUMBRA PANVEL ROAD, BHANDARLI, DAHISAR, TAL DIST THANE</t>
  </si>
  <si>
    <t>C/o MANGALAM TRADING COMPANY,BORSAD - JOTIDIYA RD, NR UNITED TRADERS,JITODIAANAND</t>
  </si>
  <si>
    <t>Draft Confirmation pending from client 06-10-2021</t>
  </si>
  <si>
    <t>KHATA NO 1174 NR NANUVAN,NAPAD - NAVLI ROAD,VILL - NAPAD,DIST ANAND,GUJARAT</t>
  </si>
  <si>
    <t>JASANI NITIN NANALAL WAREHOUSE, GODOWN NO. 2, SURVEY NO. 10, P1, OPP. PAM AGREE, SHREE RAM - 1, VRAJ 2 GIDC, ANIDA ROAD, GUNDALA, GONDAL</t>
  </si>
  <si>
    <t>Anand Regional Co-op</t>
  </si>
  <si>
    <t>GOD No 27, ARCSGU Ltd, Chikhodra Crossing, Anand, Gujarat - 388320</t>
  </si>
  <si>
    <t>Rs.82 per MT per month Including 18% GST (Including fumigation) on fixed quantity of 3000 MT for 1 month and after 1 month billing will be on actual monthly peak stock or minimum 65% of the booked quantity whichever is higher</t>
  </si>
  <si>
    <t>SHETHJI WH-MANGALAM</t>
  </si>
  <si>
    <t>C/o MANGALAM TRADING COMPANY , Godown No 2, BORSAD - JOTIDIYA RD, NR UNITED TRADERS,JITODIAANAND</t>
  </si>
  <si>
    <t>Rs.82 per MT per month Including 18% GST (Including fumigation) on fixed quantity of 2000 MT for 1 month and after 1 month billing will be on actual monthly peak stock or minimum 65% of the booked quantity whichever is higher</t>
  </si>
  <si>
    <t>84/8, Siddhi Vinayak, Compound, Mumbra Panvel Road, Dahisarmore, Dist-Thane-400612</t>
  </si>
  <si>
    <t>SIDDHIVINAYAK LOGISTICS C/O SIDDHIVINAYAK WAREHOUSE  SR NO.  52 H. NO.-3 GALA-9 TUBA MARKET NEAR EKTA KATA PIMPARI DAHISAR MORI VILLAGE DIST. THANE -400612</t>
  </si>
  <si>
    <t>DIAMOND WAREHOUSE, SHREE SIDHIVINAYAK LOGISTICS, C/O DIAMOND WAREHOUSE PLOT NO.  202 OPP. MANGAL MURTY PETROL PUMP DAHISAR MORI VILLAGE DIST. THANE -400612</t>
  </si>
  <si>
    <t>Chember 2 Sarvey No 4, Hissa No 1/A/3, House No 667, Vali Vali Village, Opp. National Kanta Gali Khot Banglow, Mumbra Panvel Road, Dahisar District Thane-400612</t>
  </si>
  <si>
    <t>7 TH STREET, 21-B, TASS INDUSTRIAL ESTATE, SIDCO INDUSTRIAL ESTATE, AMBATTUR, CHENNAI, TAMILNADU-600058</t>
  </si>
  <si>
    <t>206, Siddhivinayak Estate, Village Pimpari, Dist. Thane, Dahisar Mori 400612</t>
  </si>
  <si>
    <t>Staragri warehousing, Mumbai warehousing
Survey no.74/1 KA Garib Nawaz Estate Besite Rajaram Bhatti Thane Dahisarmori.400612 MH</t>
  </si>
  <si>
    <t>STAR AGRI WH-Shop No-7</t>
  </si>
  <si>
    <t>STAR AGRI WH-Shop No-1010</t>
  </si>
  <si>
    <t>Shop 7 no.
S/No:45/A At Siddhivinayak Estate market,
taluka Pimpri,Dahisar,Tel and dist Thane-400612</t>
  </si>
  <si>
    <t>Shop no. 1010, survey no. 45, hissa no.5 Mohammadia Estate,
dahisar mori, mumbra panvel road, navi mumbai (M Corp.)
Near- Shri Siddhivinayak Weigh Bridge
Thane 400612</t>
  </si>
  <si>
    <t>Mumbai Warehousing SURVEY NO-84/4,AT SIDDHIVINAYAK ESTATE MARKET PIMPRI DAHISARMORI TAL,</t>
  </si>
  <si>
    <t>Agreement draft send to client 03-11-2021</t>
  </si>
  <si>
    <t>Agreement draft send to client 06-10-2021</t>
  </si>
  <si>
    <t>S.N.2.3 and 4, Address -Khasara no-417,418 village -Hamidpur , Delhi 110036.</t>
  </si>
  <si>
    <t>Khasara No – 421/2, Village – Hamidpur (delhi)-110036</t>
  </si>
  <si>
    <t>KOHINOOR ESTATE, DHANSAR, DHARNA VILLAGE,TALUKA-PANVEL,RAIGAD-410208</t>
  </si>
  <si>
    <t>TRIMURTI WAREHOSE
STEEL STRUCTURE SHED NO. 571, ARIF COMPOUND, SURVEY NO. 78/1,78/2&amp;SURVEY NO. 77/4 PART, VILAGE DAHISAR MORI, OLD MUMBAI PUNE ROAD, DIST-THANE 4000612</t>
  </si>
  <si>
    <t>Caretakers -Riddhi Warehouse</t>
  </si>
  <si>
    <t>House no.598,Survey no.40/3/3,Old Mumbra Panvel Road, Dahisar Mori, Dist Thane-400612</t>
  </si>
  <si>
    <t>Rs. 5.50 Per Bag per month fortnightly peak stock basis</t>
  </si>
  <si>
    <t>1) Unloading Charges (50kg) = Rs.3.50 per Bag,
2) Loading Charges (50 kg) = Rs.3.50 per Bag,
3) Varai Charges = Rs.800 Varai Charges per Container 20 Ft (24 to 30 MT),
4) Rs.35 per Ton Thapi Charges will pay by Transporter arrange by ETC,
5) Bulk Container = Rs. 10.00 Per Bag (Stitching, Filling &amp; Thapi).</t>
  </si>
  <si>
    <t>caretakers</t>
  </si>
  <si>
    <t>Caretakers Warehouse - Maan Warehouse</t>
  </si>
  <si>
    <t>Survey No. 13/10,Opposite Salim Khan Pipe Factory,Near Dahisar School, Nagaon Road, Dahisar,Mumbra Panvel Rd, Tal. &amp; Dist:Thane, Pin:400612</t>
  </si>
  <si>
    <t>Draft Confirmation pending from client 24-11-2021</t>
  </si>
  <si>
    <t>Gidc no. 90 near Tata service centre, Mundra, 370405</t>
  </si>
  <si>
    <t>NEAR ASHOTOSH CFS
ADANI PORT ROAD,  OPP ALLIED WEIGHBRIDGE
DHRUB MUNDRA-KUTCH 370421</t>
  </si>
  <si>
    <t>KESHAV INDUSTRIES 
OPP ADANI WILMAR 
DHRUB MUNDRA-KUTCH 370421</t>
  </si>
  <si>
    <t xml:space="preserve">S D WAREHOUSE, Survey No 47/3/B, Pimpari Gaon, Mumbra Panvel Road, Dahisar Mori, Thane 400612
</t>
  </si>
  <si>
    <t>Khasra No 398/2, Village - Hamidpur, Delhi 110036.</t>
  </si>
  <si>
    <t>Go Green Rise Wareshouse</t>
  </si>
  <si>
    <t>SURVEY NO. 37/1A, NR. PETROL PUMP, PANVEL-MUMBRA ROAD,TAL.THANE, DAHISAR MORI, DIST.-THANE-400612</t>
  </si>
  <si>
    <t>Rs.5.25 Per Bags Billing will be on Fortnightly Peak Stock</t>
  </si>
  <si>
    <t>1) Unloading Charges (50kg) = Rs.3.50 per Bag, 2) Loading Charges (50 kg) = Rs.3.50 per Bag, 3) Varai Charges  = 
Rs.800 Varai Charges per Container 20 Ft (24 to 30 MT)
4) Rs.40 per Ton Thapi Charges will pay by Transporter arrange by ETC 5) Bulk Container = Rs. 10.00 Per Bag (Stitching, Filling &amp; Thapi)Fumigation : 6 container first MBR fumigation will be done by Go Green from there fumigation agency (MBR Fumigation charges at Rs. 86 Per MT = 32 GM MBR). This fumigation charges will be pay by ETC to Go Green.</t>
  </si>
  <si>
    <t xml:space="preserve">Godown No.1, Village-Hathoda, Tehsil-Ganjbasoda, Dist-Vidisha, Madhya Pradesh-464221 </t>
  </si>
  <si>
    <t>Plot No.1, Revenue Survey No.13/1, Paiki-1 Paiki-1 and Paiki-2, National Highway Ahmedabad to Rajkot, Village-Hirasar, Ta &amp; Dist-Rajkot, Gujarat-360023</t>
  </si>
  <si>
    <t>Baban Bedekya walilkar warehouse Chamber no-01
Survey no 35/1,73/1/2,opposit vipul Lodge Near New Ekta weight bridge,village-Dahisar Mori,Tal-Thane Distric Thane, 421204</t>
  </si>
  <si>
    <t>Meenu Chhabra, Khasra No-325, Extended Lal Dora, Village-Hamidpur, Delhi-110036</t>
  </si>
  <si>
    <t>Balbir Kumar Kapoor &amp; Satya Prakash Bansal, Khasra No-40/26/1 Min, Situated in the Extended Lal Dora, Village - Hamidpur, Delhi-110036</t>
  </si>
  <si>
    <t>Suresh Kumar Chhabra KH.NO.323,326, Village-Hamidpur, Delhi-110036</t>
  </si>
  <si>
    <t>Shilpi Chhabra, Khasra No-324, Situated in the extended Lal Dora, Village - Hamidpur, Delhi-110036</t>
  </si>
  <si>
    <t>HAWA SINGH, JOGINDER SINGH &amp; SATPAL, KHASRA NO-415/2,44/1/43/1, EXTENDE LAL DORA, VILL-HAMIDPUR, DELHI-110036</t>
  </si>
  <si>
    <t>Agreement execution pending</t>
  </si>
  <si>
    <t>Frere Basin</t>
  </si>
  <si>
    <t>H SHED</t>
  </si>
  <si>
    <t>J.M Boxi- Bonded</t>
  </si>
  <si>
    <t>MOD</t>
  </si>
  <si>
    <t>Platinum-Bonded</t>
  </si>
  <si>
    <t>star agri-GargWH</t>
  </si>
  <si>
    <t>STAR-Garib Nawaz</t>
  </si>
  <si>
    <t>LM Nad karni Marg, Wadala, East-400037</t>
  </si>
  <si>
    <t>Ferry Warf Road, Mallet Bandar, Near Mazgaon Doc, Mumbai 400009</t>
  </si>
  <si>
    <t>H SHED GRAIN DEPOT NEAR CHANDRA HOTEL COTTON GREEN EAST MUMBAI 400010</t>
  </si>
  <si>
    <t>MICT Unit 2, Village : Kalambusre, Tal Uran, Dist Raigad</t>
  </si>
  <si>
    <t>Mallet Bandar, Near Mazgaon Doc, Mumbai 400009</t>
  </si>
  <si>
    <t>Village Veshvi Gavan Phata, Chirner Road, Opp. Forben Container Yard, Survey No 9/3, Tal Uran, Dist- Raigad.</t>
  </si>
  <si>
    <t>SURVEY NO 6, HISSA 1/A, GARIB NAWAZ COMPOUND,
DAHISAR, DIST THANE</t>
  </si>
  <si>
    <t>Shreenathji Industries Zone 11, Near Pipradi Bus Stand, Wankaner Road, Kherva, Rajkot – 363621, Gujarat.</t>
  </si>
  <si>
    <t>R. K. Industrial Zone 1, Kuvadva GIDC, Nr. Vivekanand College, Kuvadva - 360023. (Rajkot - Gujarat)</t>
  </si>
  <si>
    <t>KH No- 419/2(0-15), Village hamidpur ,Delhi- 110036</t>
  </si>
  <si>
    <t>SURVEY NO-12/1/A, Mokashi Pada, Near Marathi School, Khotbanglow, Dahisar Mori, Dist - Thane - 421204</t>
  </si>
  <si>
    <t xml:space="preserve">Baban Bedekya walilkar warehouse Chamber no-03
Survey no 35/1,73/1/2,opposit vipul Lodge Near New Ekta weight bridge, Village-Dahisar Mori, Tal-Thane, Distric Thane, 421204 </t>
  </si>
  <si>
    <t>Near Dhansar Stop, OPP. Rubi Steel,Kiravli-Adivali, Tal-Panvel,District-Raigad-410208.</t>
  </si>
  <si>
    <t>Entity</t>
  </si>
  <si>
    <t>Agency</t>
  </si>
  <si>
    <t>Pestinct (NBHC)</t>
  </si>
  <si>
    <t>SD Location</t>
  </si>
  <si>
    <t>Profestion Pest Control &amp; Fumigation</t>
  </si>
  <si>
    <t>Pest Mortem (India) Pvt. Ltd.</t>
  </si>
  <si>
    <t>All Location (Except Kolkata)</t>
  </si>
  <si>
    <t>Kings Security</t>
  </si>
  <si>
    <t>Ghaziabad &amp; Haryana</t>
  </si>
  <si>
    <t xml:space="preserve">Baltic Control </t>
  </si>
  <si>
    <t>All Location PSV Survey</t>
  </si>
  <si>
    <t>Agreement Pending</t>
  </si>
  <si>
    <t>Geochem</t>
  </si>
  <si>
    <t xml:space="preserve">Mumbai Location Surveyor </t>
  </si>
  <si>
    <t xml:space="preserve">Chennai Location Surveyor </t>
  </si>
  <si>
    <t>SURVEY NO 155/1, VILLAGE KIDAN, GANDHIDHAM, GUJARAT, 370205</t>
  </si>
  <si>
    <t>Mail Send</t>
  </si>
  <si>
    <t>SABARI WAREHOUSING PVT LTD</t>
  </si>
  <si>
    <t>No 5, Ariyalur Village, Madhavaram, Chennai-600060</t>
  </si>
  <si>
    <t>Loading Rs. 5/50 kg bag &amp; Unloading Rs. 5/50 kg bag &amp; Bulk Charges Rs. 180/- Per Ton</t>
  </si>
  <si>
    <t>L̥</t>
  </si>
  <si>
    <t>ACTIIVE</t>
  </si>
  <si>
    <t>STATUS</t>
  </si>
  <si>
    <t>WH-Status</t>
  </si>
  <si>
    <t>Agreement executed</t>
  </si>
  <si>
    <t>AryaCollateral-Anzar&amp;BrotherWH</t>
  </si>
  <si>
    <t>H No. 1367, L S No. 5/5//1/4B, Kirawali, Taloja Sec PNL-1,Kirawali, 410206</t>
  </si>
  <si>
    <t>Arya Collateral</t>
  </si>
  <si>
    <t>Arya-JD Warehouse</t>
  </si>
  <si>
    <t>Origo-Santosh warehouse</t>
  </si>
  <si>
    <t>H no -24/2 Santosh hotel adivali ( kiravli ) tal Panvel District Raigad Maharashtra - 410206</t>
  </si>
  <si>
    <t>Kolkata</t>
  </si>
  <si>
    <t>Origo</t>
  </si>
  <si>
    <t>Building Insurance</t>
  </si>
  <si>
    <t>Document</t>
  </si>
  <si>
    <t>Electricity Bill</t>
  </si>
  <si>
    <t>TCR Letter</t>
  </si>
  <si>
    <t>Tax Receipt</t>
  </si>
  <si>
    <t>7-12 Record</t>
  </si>
  <si>
    <t>Electricity Bill &amp; NOC</t>
  </si>
  <si>
    <t xml:space="preserve">NOC Letter </t>
  </si>
  <si>
    <t>Survay No-336/7/1-b New Survay No35 Mauje Waliwali
Dahisarmori Mumbara Panvel  road Navi mumbai-400612</t>
  </si>
  <si>
    <t>Survey 59/3/A &amp; 60/1 SADRU COMPOUND, OPP. DILKHUSH HOTEL, BHANDARLI, P.O. DAHISAR, THANE-400612</t>
  </si>
  <si>
    <t>star agri-GargWH – Sadru Compound</t>
  </si>
  <si>
    <t>STAR Agri -Garg WH Garib Nawaz</t>
  </si>
  <si>
    <t>Active</t>
  </si>
  <si>
    <t>GOD No 11 &amp; 24, ARCSGU Ltd, Chikhodra Crossing, Anand, Gujarat - 388320</t>
  </si>
  <si>
    <t xml:space="preserve">SNB OM Warehouse </t>
  </si>
  <si>
    <t>C-34, Pawne MIDC, Navi Mumbai, 400705 </t>
  </si>
  <si>
    <t>TRIMURTI Asif Compound Warehouse</t>
  </si>
  <si>
    <t>Asif Compound, Survey No. 80/1, Ekta Nagri, Near Prince Kata, Dahisarmori, Thane - 421204</t>
  </si>
  <si>
    <t>R.P. Cold Storage Pvt Ltd</t>
  </si>
  <si>
    <t>M/s Chaudhary Cold Storage Pvt Ltd.</t>
  </si>
  <si>
    <t>KHASRA NO.-69/24/1/2/1, PIO MANIYAR, NARELA ROAD, SONIPAT, Sonipat, Haryana, 131028</t>
  </si>
  <si>
    <t>PIA MANYARI ROAD, KUNDLI, SONIPAT, HARYANA-131028</t>
  </si>
  <si>
    <t>Lawrence Agro</t>
  </si>
  <si>
    <t>Godown No 28, NH No. 8, Chikhodra Crossing Dist Anand Gujarat 388320</t>
  </si>
  <si>
    <t>NCML Kanpur Warehouse</t>
  </si>
  <si>
    <t>Village-Rampur, Post - Bhimsen, Near Bhimsen Railway Station, Kanpur Nagar - 209305</t>
  </si>
  <si>
    <t>Kanpur</t>
  </si>
  <si>
    <t>Electricity Bill / Tax Receipt</t>
  </si>
  <si>
    <t>Rent/Lease agreement or Ownership Proof</t>
  </si>
  <si>
    <t>Target</t>
  </si>
  <si>
    <t>Hubtown Viva Bldg., Suite no.: 313-314, 3rd Floor, Shankarwadi, Western Express Highway, Jogeshwari (East), Mumbai - 400060, Maharashtra, India</t>
  </si>
  <si>
    <t>Execution date</t>
  </si>
  <si>
    <t>Expirty Date</t>
  </si>
  <si>
    <t>ETC Agro - Gorakhpu (SD)</t>
  </si>
  <si>
    <t>ETC Agro - Amritsar (SD)</t>
  </si>
  <si>
    <t>ETC Agro</t>
  </si>
  <si>
    <t>VILL. GILWALI, OUTSIDE OCTROI, TARN TARAN ROAD, AMRITSAR - 143022</t>
  </si>
  <si>
    <t>Khasra No. 405-410, Rampur Vill. Roorkee</t>
  </si>
  <si>
    <t>B4/1063/1, Arora Complex, / 140603 ZIRAKPUR</t>
  </si>
  <si>
    <t xml:space="preserve">B-18-19/17 BULANDSAHAR ROAD
INDUSTRIAL AREA, GHAZIABAD - 201009 </t>
  </si>
  <si>
    <t>C-1/14, Transport Nagar, Kanpur Road, Lucknow, Uttar Pradesh 226012</t>
  </si>
  <si>
    <t>E-29,Plot No. 3,4,5  Naveen Transport Nagar
Gorakhpur (Uttar Pradesh) - 273001</t>
  </si>
  <si>
    <t>6 FLOOR, 602,603,604, VIKRAM TOWER, 16 RAJENDRA PLACE, CENTRAL DELHI, DELHI, 110008</t>
  </si>
  <si>
    <t>Non active</t>
  </si>
  <si>
    <t>Punjab</t>
  </si>
  <si>
    <t>Roorkee</t>
  </si>
  <si>
    <t>Ghaziabad</t>
  </si>
  <si>
    <t>Lucknow</t>
  </si>
  <si>
    <t>Gorakhpur</t>
  </si>
  <si>
    <t>Rent</t>
  </si>
  <si>
    <t>Adarsh Trading Ventures Private Limited</t>
  </si>
  <si>
    <t>Dharamsons Investments &amp; Properties Private Limited</t>
  </si>
  <si>
    <t>Rajiv Sales Corporation</t>
  </si>
  <si>
    <t xml:space="preserve">Singhania </t>
  </si>
  <si>
    <t>GS Warehousing &amp; Logistics Co. &amp; Talwar Marketing</t>
  </si>
  <si>
    <t>Das Drugs Private Limited</t>
  </si>
  <si>
    <t>ARS Leathers</t>
  </si>
  <si>
    <t>A.B road Rajendra Nagar, 17.Tezpur gadbadipul,
Indore .452012</t>
  </si>
  <si>
    <t>Indore</t>
  </si>
  <si>
    <t>20 to 50 Kg Rs.6/- per pkt. for Loading and Rs.6/- per pkt. for unloading</t>
  </si>
  <si>
    <t>Indore Cold</t>
  </si>
  <si>
    <t>Freshmart Cold Storage LLP</t>
  </si>
  <si>
    <t>12/- per bag , per Month (Kachhi Val/50Kg)</t>
  </si>
  <si>
    <t>6/-loading Per 50 Kg Bags
6/-unloading Per 50 Kg Bags. Plus Dala charges</t>
  </si>
  <si>
    <t>Freshmart Cold</t>
  </si>
  <si>
    <t xml:space="preserve">Adarsh Sheet Grah Pvt. Ltd. </t>
  </si>
  <si>
    <t>Pithampur Bypass, Sanghvi College Road, Rau - 453331</t>
  </si>
  <si>
    <t>Survey No 45/3/A, Near Siddhivinayak Weighbridge, Mumbra Panvel Road, Pimpripada, Pimpari, Thane - 400612</t>
  </si>
  <si>
    <t>Sri Shiv Logistics</t>
  </si>
  <si>
    <t>Plot No. 4 &amp; 5, RS No. 169/P-48/P-1, Adani Wilmar Road, Dharb, Mundra, Kachchh, Gujarat - 370421</t>
  </si>
  <si>
    <t>Storage Charge Rs. 130 Per MT per month.</t>
  </si>
  <si>
    <t>A &amp; I GODOWN NO. 06</t>
  </si>
  <si>
    <t>FSW WAREHOUSE-6A</t>
  </si>
  <si>
    <t>FSW WAREHOUSE-6B</t>
  </si>
  <si>
    <t>FSW WAREHOUSE-6E</t>
  </si>
  <si>
    <t>FSW WAREHOUSE-7C</t>
  </si>
  <si>
    <t>PATEL CONSTRUCTION WAREHOUSE, GODOWN NO.1 C/c SRINATH AGENCY </t>
  </si>
  <si>
    <t>PATEL CONSTRUCTION WAREHOUSE, GODOWN NO.2 C/o SRINATH AGENCY </t>
  </si>
  <si>
    <t>Shree Mahalaxmi Enterprises</t>
  </si>
  <si>
    <t>A &amp; I Hospitality pvt ltd, Plot no 65, opp Kutch Salt Works, Kandla - 370210</t>
  </si>
  <si>
    <t>Friends Salt Works n Allied Industry, Opp IOC LPG TERMINAL, Gandhidham Kandla Highway, Kandla - 370210</t>
  </si>
  <si>
    <t>Survey no 10 &amp; 11, Bharapar, Gandhidham, Kachchh, Gujarat - 370201</t>
  </si>
  <si>
    <t>Patel Construction C/o, Nilkanth Godown, Survey No.155 Paiki-Kandla Highway, Near KASEZ. Village: Kidana, Gandhidham- Kuchh, Gujrat-370205</t>
  </si>
  <si>
    <t>Godown No 1, Plot no 1, R S No. 273/2, Mithi Rohar, Gandhidham, 370201</t>
  </si>
  <si>
    <t>Kandla</t>
  </si>
  <si>
    <t>Storage Charge Rs. 70 Per MT per month.</t>
  </si>
  <si>
    <t xml:space="preserve">KESHAV INDUSTRIES
</t>
  </si>
  <si>
    <t>FRIENDS IMPEX</t>
  </si>
  <si>
    <t>GODAWN no 7 &amp; 8, R S 110 paiki 1, Paragpar Chokdi, Village Paragpar 1, Mundra - 370421</t>
  </si>
  <si>
    <t>Godown - 3,5,7,12 , SURBEY NO.169, OPPOSITE ADANI WILMAR LTD, ADANI PORT ROAD,
DHRUB-MUNDRA(KUTCH) GUJARAT</t>
  </si>
  <si>
    <t>Harbhole Baban Warehouse &amp; Mill</t>
  </si>
  <si>
    <t>Kokila Patel WH</t>
  </si>
  <si>
    <t xml:space="preserve">Baban Bedekya walilkar warehouse -03
Survey no 35/1,73/1/2,opposit vipul Lodge Near New Ekta weight bridge, Village-Dahisar Mori, Tal-Thane, Distric Thane, 421204 </t>
  </si>
  <si>
    <t>WMS Charges : Rs. 50000 Per Month</t>
  </si>
  <si>
    <t xml:space="preserve">Dhansar Post Taloja, Panvel Raigarh-410206 </t>
  </si>
  <si>
    <t>Adani Logistic Ltd</t>
  </si>
  <si>
    <t>Agreement is Live</t>
  </si>
  <si>
    <t xml:space="preserve"> BALAJI WAREHOUSING PVT LTD</t>
  </si>
  <si>
    <t>IDEAL WAREHOUSING &amp; LOGISTICS PVT LTD – Unit-2</t>
  </si>
  <si>
    <t>JAYAM WAREHOUSE</t>
  </si>
  <si>
    <t xml:space="preserve">SRI VAARI LOGISTICS  </t>
  </si>
  <si>
    <t>Sabari Logistics Solutions..</t>
  </si>
  <si>
    <t>Seabonded Warehouse Pvt Ltd – Bonded Wh</t>
  </si>
  <si>
    <t>No.459/3A kathirvedu, Sembium,RedhillsRoad,Puzhul ,Chennai - 600066</t>
  </si>
  <si>
    <t>No.245/2B T.H.Road,Nallur village ,Ponneri ,Thiruvallur, Chennai-601204</t>
  </si>
  <si>
    <t>Survey No230/6, Ponneri High Road, Vellivoyalchavadi, Chennai-600 103.</t>
  </si>
  <si>
    <t>Industrial Road, Jaganathanpuram,Alinjivakkam Village, Ponneri Taluk,chennai-600102</t>
  </si>
  <si>
    <t>No.550/1A&amp;B,551/1,Pammadukulam Village, Ellaiammanpettai, Lakshmipuram,Redhills, Chennai 600052.</t>
  </si>
  <si>
    <t>Live</t>
  </si>
  <si>
    <t>Rs.3600/- Per Container, Per month Rs.7.50/50Kg Bag</t>
  </si>
  <si>
    <t>Per month, Rs.150/- Per ton.</t>
  </si>
  <si>
    <t>Rs. 4200/- Per Container Per Month, Rs.70 PER SQ.METER</t>
  </si>
  <si>
    <t>Rs. 4200/- Per Container Per Month, Rs.70 PER SQ.METER per Week</t>
  </si>
  <si>
    <t xml:space="preserve">Loading Rs.5.50/50Kg bag &amp; Unloading Rs.6.00/50 Kg Bag </t>
  </si>
  <si>
    <t xml:space="preserve">Loading Rs.5.50/50Kg bag &amp; Unloading Rs.6/50 Kg Bag </t>
  </si>
  <si>
    <t xml:space="preserve">Loading Rs. 5.50/50 kg bag &amp; Unloading Rs. 6.00/50 kg bag, </t>
  </si>
  <si>
    <t>SEAGATE WAREHOUSING SERVICES</t>
  </si>
  <si>
    <t>No. 149, Vellivayalchavadi, Vichoor, Chennai – 600 103</t>
  </si>
  <si>
    <t>Rent per Container (per month): Rs. 150 per ton</t>
  </si>
  <si>
    <t>•	Unloading Charges – 50 Kgs: Rs. 5.50 per bag / Rs. 110 per ton
•	Loading Charges – 50 Kgs: Rs. 6.00 per bag / Rs. 120 per ton
•	Repacking Charges – 50 Kgs: Rs. 10.00 per bag / Rs. 200 per ton
•	Unloading Charges – 25 Kgs: Rs. 3.50 per bag / Rs. 140 per ton
•	Bulk Packing Charges – 50 Kgs: Rs. 10.00 per bag / Rs. 200 per ton
•	Service Charges of SIP – Rs. 1.00 per bag</t>
  </si>
  <si>
    <t>SHEETAL COLD STORAGE</t>
  </si>
  <si>
    <t>2073</t>
  </si>
  <si>
    <t>2062</t>
  </si>
  <si>
    <t>2044</t>
  </si>
  <si>
    <t>Plot No. C 20. MIDC , Pawane Navi Mumbai 400703</t>
  </si>
  <si>
    <t xml:space="preserve">Storage Charges of Per Bag 30Kg=Rs.15.50 &amp; 50Kg=Rs.22.00. Monthly Peak stock whichever is higher                                                                              </t>
  </si>
  <si>
    <t>30 Kg Bags: 
Loading = Rs.5.50
Unloading = Rs.5.50
50 Kg Bags: 
Loading = Rs.7.00
Unloading = Rs.7.00
Varai = Rs.1500 Per Container</t>
  </si>
  <si>
    <t>Sheetal Cold Storage</t>
  </si>
  <si>
    <t>MEHTA ICE &amp; COLD STORAGE</t>
  </si>
  <si>
    <t>2136</t>
  </si>
  <si>
    <t>D-36/4, MIDC Turbhe, Navi Mumbai-400705</t>
  </si>
  <si>
    <t>Mehta Cold Storage</t>
  </si>
  <si>
    <t>Indore Ice and Cold Storage Pv</t>
  </si>
  <si>
    <t>2292</t>
  </si>
  <si>
    <t xml:space="preserve">Rs. 26/- per quintal per month.   
Reservation 1500 MT for 3 Months w.e.f 25-05-2024 to 24-08-2024. Billing on Reservation quantity or Monthly Peak stock whichever is higher                                                                              </t>
  </si>
  <si>
    <t xml:space="preserve">Shri Krishna cold storage </t>
  </si>
  <si>
    <t>Behind Umiya Dham Mandir, Rangvasa, Rau- 453331</t>
  </si>
  <si>
    <t>Addendum required for Rate and reservation change
from 01-April-2025.
Quantity / Space Booked - 3000 MT                                                                                           
 Period - Minimum 6 months starting                                                                                           
 Rent - Rs. 30/- per quntal per month.                                                                                
 Hammali - Rs.6.50 per pkt. for Loading and Rs.6.50 per pkt. for unloading</t>
  </si>
  <si>
    <t>2293</t>
  </si>
  <si>
    <t>Tankara - Jamnagar Highway, Opp. Hirapar Bus Stand, At. Hirapar, Ta - Tankara, 
Dist Morbi, Pin 363650</t>
  </si>
  <si>
    <t>Baban Warehouse</t>
  </si>
  <si>
    <t>2301</t>
  </si>
  <si>
    <t xml:space="preserve">Baban Bedkya Walilkar, Warehouse-03, Survey No. 35/1, 73/1/1/B, Opposite Vipul Lodge, Near New Ekta Weigh Bridge, Village Dahisar Mori, Talika Thane, District 421204 </t>
  </si>
  <si>
    <t>Fixed amount of Rs. 378000/- (Rupees Three Lac Seventy Eight thousand Only), Including Government and Maintenance tax, per month for the said area excluding GST as applicable.</t>
  </si>
  <si>
    <t>Rs. 20 Lac from 14-02-25 to 30-06-25 &amp; Rs. 21 Lac from 01-07-2025 to 13-02-26</t>
  </si>
  <si>
    <t>Contract Executed on Adani Logistic Letter Head</t>
  </si>
  <si>
    <t>CISCO</t>
  </si>
  <si>
    <t>SGS</t>
  </si>
  <si>
    <t>Cotecna</t>
  </si>
  <si>
    <t>Baltic Control</t>
  </si>
  <si>
    <t>Pest Mortem</t>
  </si>
  <si>
    <t>PSV Agreement</t>
  </si>
  <si>
    <t>Labour Contractor</t>
  </si>
  <si>
    <t>Surveyor</t>
  </si>
  <si>
    <t>Fumigation</t>
  </si>
  <si>
    <t>1)	Our intervention charges for Scope A 			: INR 5000/Unit
2)	Abortive/Additional Man-day charges** will be applicable	: INR 3000/man day</t>
  </si>
  <si>
    <t>Hubtown Viva Bldg., Suite no.: 313-314, 3rd Floor, Shankarwadi, Western Express Highway, Jogeshwari (East), Mumbai - 400060</t>
  </si>
  <si>
    <t>G-2, SUNDER TOWER, T.J.ROAD, SEWREE (WEST), MUMBAI - 400015</t>
  </si>
  <si>
    <t>All Location</t>
  </si>
  <si>
    <t>Transport</t>
  </si>
  <si>
    <t>RST Roadways</t>
  </si>
  <si>
    <t>Shiv Durga Logistic</t>
  </si>
  <si>
    <t>TRS lift and Shift</t>
  </si>
  <si>
    <t>Western Carrier Transport</t>
  </si>
  <si>
    <t>Aarav Logistic</t>
  </si>
  <si>
    <t>Amit Travels</t>
  </si>
  <si>
    <t>Avana Logitek Ltd (Unifeeder)</t>
  </si>
  <si>
    <t xml:space="preserve">Deepak Transport </t>
  </si>
  <si>
    <t>Baid International</t>
  </si>
  <si>
    <t>Warehouse</t>
  </si>
  <si>
    <t>IRC Limited</t>
  </si>
  <si>
    <t xml:space="preserve">Concor </t>
  </si>
  <si>
    <t>Pestinct</t>
  </si>
  <si>
    <t>CFS</t>
  </si>
  <si>
    <t>Execute</t>
  </si>
  <si>
    <t>BAID SHIPPING AGENCY</t>
  </si>
  <si>
    <t>CHA</t>
  </si>
  <si>
    <t>EASTERN CARRIER</t>
  </si>
  <si>
    <t>GLOBAL MARINE SERVICES</t>
  </si>
  <si>
    <t>SIAM LOGISTICS PRIVATE</t>
  </si>
  <si>
    <t>Send by Jagga</t>
  </si>
  <si>
    <t xml:space="preserve">Jagdeesan Nair </t>
  </si>
  <si>
    <t>Singh Trader</t>
  </si>
  <si>
    <t>DP World</t>
  </si>
  <si>
    <t>Transport Rail</t>
  </si>
  <si>
    <t>Hazira</t>
  </si>
  <si>
    <t xml:space="preserve">CJ Darcel </t>
  </si>
  <si>
    <t>Agreement Execute Annexture Pending</t>
  </si>
  <si>
    <t>Avani Enterprises</t>
  </si>
  <si>
    <t>Balmer Lawrie</t>
  </si>
  <si>
    <t>Executed</t>
  </si>
  <si>
    <t>IDEAL WAREHOUSING &amp; LOGISTICS PVT LTD – Unit-1 / Dhanam Warehouse.</t>
  </si>
  <si>
    <t>Dinesh Kumar Sharma</t>
  </si>
  <si>
    <t xml:space="preserve">Office </t>
  </si>
  <si>
    <t>VDM WAREHOUSE AND LOGISTIC– 3</t>
  </si>
  <si>
    <t>VDM WAREHOUSE AND LOGISTIC– 1</t>
  </si>
  <si>
    <t>VDM WAREHOUSE AND LOGISTIC– 4</t>
  </si>
  <si>
    <t>VDM WAREHOUSE AND LOGISTIC– 2</t>
  </si>
  <si>
    <t>VDM WAREHOUSE AND LOGISTIC– 9</t>
  </si>
  <si>
    <t>VDM WAREHOUSE AND LOGISTIC– 8</t>
  </si>
  <si>
    <t>VDM WAREHOUSE AND LOGISTIC– 7</t>
  </si>
  <si>
    <t>VDM WAREHOUSE AND LOGISTIC– 6</t>
  </si>
  <si>
    <t>VDM WAREHOUSE AND LOGISTIC– 5</t>
  </si>
  <si>
    <t>Shri Mahaveer Warehouse</t>
  </si>
  <si>
    <t>Plot No. 31, West Gate 01, FSWAI, Kandla (Kutch) – 370210, Gujarat</t>
  </si>
  <si>
    <t>Western Carrier India Limited</t>
  </si>
  <si>
    <t>West Bengal</t>
  </si>
  <si>
    <t>Rs. 40000 (Fixed) 3000 Sqft</t>
  </si>
  <si>
    <t>Rs. 90/PMT Unloading</t>
  </si>
  <si>
    <t>Jay Nageshwar Enterprises</t>
  </si>
  <si>
    <t>Shri Shankar Lal Sharma, 429/33, Balu Ram Building, Behind Railway Station, Pal Bichla, Ajmer, Rajasthan 305001</t>
  </si>
  <si>
    <t>Rental Agreement</t>
  </si>
  <si>
    <t>Pest Mortem India Pvt Ltd</t>
  </si>
  <si>
    <t>Swastik Agro Food Industries</t>
  </si>
  <si>
    <t>Shree Datta Enterprises</t>
  </si>
  <si>
    <t>Kistiwala House, Jinjira Bazar, Kolkata 88</t>
  </si>
  <si>
    <t>57/H/8, Hossain Shah Road, Kolkata, West Bengal 700023</t>
  </si>
  <si>
    <t xml:space="preserve">AK Enterprise </t>
  </si>
  <si>
    <t>Diamond Heritage, 16 Strand Road 14th Floor Room No 1415 A, Kolkata West Bangal India - 700001</t>
  </si>
  <si>
    <t>Orbit Unit 3F, 1 Garstin Place, Kolkata 700001</t>
  </si>
  <si>
    <t>4th Floor, Flat 1, Building No 51, Holding No 89/4, Subhas Nagar Road, South Dum Dum, Kolkata 700065</t>
  </si>
  <si>
    <t>98H/12/1 Garden Reach Road, Kolkata West Bengal India 700023</t>
  </si>
  <si>
    <t>2/6, Sarat Bose Road, 2nd floor Kolkata, West Bengal, India 700020</t>
  </si>
  <si>
    <t>Agreement Executed</t>
  </si>
  <si>
    <t>45A, Adya Sradhha Ghat Road Kolkata 700007 West Bengak</t>
  </si>
  <si>
    <t>44, Kali Krishna Tagore Sheet, Ground Floor ( Bara Bazar ), Kolkata 700007</t>
  </si>
  <si>
    <t>Bangure Building 114, Rabindra Sarani, 2nd Floor Room No 42 Kolkata 700007 West Bengal</t>
  </si>
  <si>
    <t>B- Block Parivar Apartment, Mollargate Kolkata 700023 West Bengal</t>
  </si>
  <si>
    <t>Ground Floor No 115, WhiteTower, Bow Bazar, Kolkata RAC, Gate No 1, Banhooghly Kolkata 700108 West Bengal</t>
  </si>
  <si>
    <t>P-66, Circular Garden Reach Road, Kolkata, West Bengal, India 700043</t>
  </si>
  <si>
    <t>Abhimanyu Logistics</t>
  </si>
  <si>
    <t>105 Vikrant Complex, Plot No 72, 73 Sector 19C, Vashi Navi Mumbai 400705</t>
  </si>
  <si>
    <t>11th Floor One Horizon Center, Golf Course Road DLF Phase V Sector $3 Gurugram 122002 Haryana India</t>
  </si>
  <si>
    <t>SILCHAR</t>
  </si>
  <si>
    <t>Pending Draft from Seema Madam</t>
  </si>
  <si>
    <t>Innovative Pest &amp; Property Managemnet Science</t>
  </si>
  <si>
    <t>4B, SGS House, Adishankaracharya Marg, Tagore Nagar, Vikroli ( West ) Mumbai</t>
  </si>
  <si>
    <t>410/1,D.H. Road, New Alipore, Block G, Flat No 5 Kolkata, West Bengal, India 700053</t>
  </si>
  <si>
    <t>Hari Darshan, Ground Floor, Plot No 122. Sector - 1/A, Gandhidham 370201</t>
  </si>
  <si>
    <t>SIP Dhansekaran</t>
  </si>
  <si>
    <t>New No 28/2, Arthoon Road, 2nd Floor, Royapuram, Chennai 600013</t>
  </si>
  <si>
    <t>707, C &amp; D, Ecasty Business Park, City of Joy, JSD Road Mulud West Mumbai 400080</t>
  </si>
  <si>
    <t>G-6 Sri Siri Enclave Apartment, Muthukur, SPSR Nellore, Andhra Pradesh 524344</t>
  </si>
  <si>
    <t>Shivam Shipping India Private Limited</t>
  </si>
  <si>
    <t>21N S Road Kolkata 700001 and Container Freight station Located at Plot 1 Sector 7 Dronagiri Node 400707</t>
  </si>
  <si>
    <t>Speedy Multimodes Limited</t>
  </si>
  <si>
    <t>JNP CFS Jawaharlal Nehru Port Sonari Village Taluka Uran 400707 Uran Maharashtra India</t>
  </si>
  <si>
    <t>4TH Floor, A wing, Allcargo House, CST Road, Kalina, Santacruz East Vidyanagari, Mumbai India 400098</t>
  </si>
  <si>
    <t>Allcargo Terminals Limited</t>
  </si>
  <si>
    <t>J M Baxi Ports &amp; Logistics Private Limited</t>
  </si>
  <si>
    <t>Ameya Logistics Private Limited</t>
  </si>
  <si>
    <t>Village Dhasakoshi, Taluka Uran Post Khopte Raigad Maharashtra India 410212</t>
  </si>
  <si>
    <t>4/29 E,Madurai By Pass Road, Tuticorin 628007</t>
  </si>
  <si>
    <t>Aakash Transport Organization</t>
  </si>
  <si>
    <t>Abhyansh Shipping Services India Private Limited</t>
  </si>
  <si>
    <t>Office No 708, A wing Shelton Sapphire, Plot No 18/19 Sector 15 CBD Belapur Navi Mumbai Thane 400614</t>
  </si>
  <si>
    <t>Atharv Transport</t>
  </si>
  <si>
    <t>Papadicha Pada, Off Shivtej Building 1st floor, Post Taloja District Raigad 410208</t>
  </si>
  <si>
    <t>Mayur Transport Private Limited</t>
  </si>
  <si>
    <t>Office No 03, D Wing Choice Ambe Sagar Apartment Dr Rajendra Prasad Road Mulund West 400080</t>
  </si>
  <si>
    <t>Rajesh Cargo Movers India Pvt Ltd</t>
  </si>
  <si>
    <t>2nd Floor E 210 Eastern Business District Neptune Magnet Mall, Near Magatram Petrol Pump LBS Marg Bhandup West Mumbai 400078</t>
  </si>
  <si>
    <t>Sushil Transport</t>
  </si>
  <si>
    <t xml:space="preserve">Dada Transport </t>
  </si>
  <si>
    <t>Shop No 6 Ground Floor A wing Shri Surya Kund Mahapurush Co op Housing Society Mazgoan Mumbai 400010</t>
  </si>
  <si>
    <t>S K Tiwari</t>
  </si>
  <si>
    <t>19 P D Mello Road Wadi Bunder Mumbai 40009</t>
  </si>
  <si>
    <t>Prime Roadways</t>
  </si>
  <si>
    <t>Shop No 308 Bonomi Square behind palm beach galleria mall plot no 14 sector 19 D Navi Mumbai 400705</t>
  </si>
  <si>
    <t>Galaxy Logistics</t>
  </si>
  <si>
    <t>Dr Babasaheb Ambedkar Nagar, MIDC Shivni Transport Nagar, Akola (M-H) 444104</t>
  </si>
  <si>
    <t>Amit Freight Carrirers</t>
  </si>
  <si>
    <t>206, 2nd floor Vikrant Complex plot no 72 73 Sector 19C Vashi Navi Mumbai 400705</t>
  </si>
  <si>
    <t>J M Kothari &amp; Sons</t>
  </si>
  <si>
    <t>AP Logistics</t>
  </si>
  <si>
    <t>Shriniwasa Road Carrier Pvt Ltd</t>
  </si>
  <si>
    <t>5th floor no 5B, Sapna Trade Centre Chennai Tamilnadu 600084</t>
  </si>
  <si>
    <t>New Mahalaxmi Roadlines</t>
  </si>
  <si>
    <t>Room No 363 Central Facility Building No 2 Sector 19 Vashi Navi Mumbai 400705</t>
  </si>
  <si>
    <t>Selam/Trichy/Madurai</t>
  </si>
  <si>
    <t>New Mahalaxmi Roadways</t>
  </si>
  <si>
    <t>Shree S N Logistics</t>
  </si>
  <si>
    <t>Office No 193, Kailash Jyoti Society, Meghpar Borichi, Anjar, Gujrat 370110</t>
  </si>
  <si>
    <t>Shree Bagnath Roadways</t>
  </si>
  <si>
    <t>Office No 445, 4th Floor Central Facility Building No 2 Sector 19 Vashi 400703</t>
  </si>
  <si>
    <t>Madan Transport</t>
  </si>
  <si>
    <t>12/4, First Floor, Ashok Nagar, First Street, Indira Colony, Chennai, Tamilnadu 600083</t>
  </si>
  <si>
    <t>Darcl House, Plot No 55P, Sector 44, Institutional Area, Gurgaon, Gurugram, Haryana, India 122003</t>
  </si>
  <si>
    <t>TCI-Concon Multimodal Solitions Private Limited</t>
  </si>
  <si>
    <t>DPT 625/626 DLF Prime Tower Okhla Phase 1, South Delhi India 110020</t>
  </si>
  <si>
    <t>Gujrat to Pan India</t>
  </si>
  <si>
    <t>Mumbai to Gujrat</t>
  </si>
  <si>
    <t>Bhavini Transport</t>
  </si>
  <si>
    <t>Plot No 165/174 Unit 105 Sector 19C Vashi, Navi Mumbai 400705</t>
  </si>
  <si>
    <t>Aadinath Transport</t>
  </si>
  <si>
    <t>718-719 Commodity Exchange Building Plot No 2,3,4 Sector 19 Vashi, Navi Mumbai 400705</t>
  </si>
  <si>
    <t>Narshi Nenshi &amp; Sons</t>
  </si>
  <si>
    <t>5th Floor Office No 1 Navkar Plaza Building Bajaj Road Vile Parle West Mumbai 400056</t>
  </si>
  <si>
    <t>Rinku Roadways</t>
  </si>
  <si>
    <t>F/F-83, Sitaram Super Market, Opp Baroda, Packaging Chhani Road, Baroda</t>
  </si>
  <si>
    <t>Prathna Roadways</t>
  </si>
  <si>
    <t>B/05, Parshwa Complex, N H 8 Near Relex Hotel, Vasad Anand Gujrat</t>
  </si>
  <si>
    <t>Gujrat</t>
  </si>
  <si>
    <t>Office No A 1003, Plot No 3 Akshar Park Sector 25 Vashi, Navi Mumbai Sanpada Thane India 400703</t>
  </si>
  <si>
    <t>Rainsai Khalapur Raigad 402107</t>
  </si>
  <si>
    <t>Vihan Transport</t>
  </si>
  <si>
    <t>B Wing Building No 32 604 Trupti CHS Chembur East Mumbai 400089</t>
  </si>
  <si>
    <t>Amit Freight Forwarders</t>
  </si>
  <si>
    <t>Grohitam Building Office No 935 Plot No 14B Sector 19 Vashi Navi Mumbai 400705</t>
  </si>
  <si>
    <t>House 478, Someshwar Mandir, Papdichapda, Taloja, Panvel 410208</t>
  </si>
  <si>
    <t>Raygard Roadways</t>
  </si>
  <si>
    <t>New Pune Mumbai Road Near Raigad Bazar, Shilphata, Khopoli, Raigad 410203</t>
  </si>
  <si>
    <t>Meher Logistics</t>
  </si>
  <si>
    <t>25/101, NRI Complex Seawoods Estate,Palm Beach Road, Navi Mumbai 400615</t>
  </si>
  <si>
    <t>190/- PMT</t>
  </si>
  <si>
    <t>Diamond Chembar, 6th floor, Block III-IV, Room No 6B, Chowringhee, Lane, Kolkata - 700016</t>
  </si>
  <si>
    <t>Rs 140/- PMT Bagging of bulk cargo, stitching, stacking, unloading Rs 40/- PMT Unloading of bag cargo Rs40/- PMT for loading of bagged cargo. Khamali Rs. 250/- per lorry. Sweeping Rs. 250/- Head Restacking Rs 2 Bags &amp; Stitching Rs. 1.50 Bags</t>
  </si>
  <si>
    <t>Care Container Lines Private Limited</t>
  </si>
  <si>
    <t>Komal Roadlines</t>
  </si>
  <si>
    <t>213, Maruti Chambers, Plot No 857/A, Kalamboli, Navi Mumbai</t>
  </si>
  <si>
    <t>Shree Shyam Transport</t>
  </si>
  <si>
    <t>Gurukrupa Roadlines</t>
  </si>
  <si>
    <t>Shop No 2,Shama Parking, Mithi Rohar, N.H. 8/A, Gandhidham(Kutch), Gujrat 370201</t>
  </si>
  <si>
    <t>Plot No 1, Truck Terminal, Sector 19, Vashi, Navi Mumbai 400705</t>
  </si>
  <si>
    <t>ETC-MS &amp; MD signature pending</t>
  </si>
  <si>
    <t>Liladhar Pasoo Forwarders Pvt Ltd</t>
  </si>
  <si>
    <t>Jayesh Chande</t>
  </si>
  <si>
    <t>Vendor Name</t>
  </si>
  <si>
    <t>Stamp Paper Number</t>
  </si>
  <si>
    <t>Agreement Type</t>
  </si>
  <si>
    <t>From</t>
  </si>
  <si>
    <t>Authorised Person</t>
  </si>
  <si>
    <t>Designation</t>
  </si>
  <si>
    <t>6th Floor, Tower - B of SAS Tower Support Area Medicity Sector 38 Gurgaon 122001</t>
  </si>
  <si>
    <t>10AB 803468</t>
  </si>
  <si>
    <t>Service Provider Agreement</t>
  </si>
  <si>
    <t>Mr. Himanshu Wankhede</t>
  </si>
  <si>
    <t>CRM</t>
  </si>
  <si>
    <t>19AB 761436</t>
  </si>
  <si>
    <t>Mr. J. Sivakumar</t>
  </si>
  <si>
    <t>Manager</t>
  </si>
  <si>
    <t>Jagnnath Bedkya Walilkar</t>
  </si>
  <si>
    <t>Proprietor</t>
  </si>
  <si>
    <t>Plot No 463, Maharashtra State Warehousing Corporation, Shivkrupa Apartment, Market Yard, Panvel, Patalganga, Dist Raigad 410206</t>
  </si>
  <si>
    <t>DE 910646</t>
  </si>
  <si>
    <t>Mr. Dinesh Joshi</t>
  </si>
  <si>
    <t>Director</t>
  </si>
  <si>
    <t>Taloja Logistics Park Near Village Rohinjan Taloja Taluka Panvel District Raigarh Pin Code 410208</t>
  </si>
  <si>
    <t>Adani Ports &amp; Logistics</t>
  </si>
  <si>
    <t>Sub-Leave &amp; License Agreement</t>
  </si>
  <si>
    <t>Vivek Freight &amp; Logistics Private Limited</t>
  </si>
  <si>
    <t>A-101 1st floor Shree Nand Dham Plot No 59 Sector 11 CBD Belapur Navi Mumbai 400614</t>
  </si>
  <si>
    <t>85AA 646755</t>
  </si>
  <si>
    <t>Service Contract for Freight Booking</t>
  </si>
  <si>
    <t>Shantanu Paul</t>
  </si>
  <si>
    <t>Head West &amp; North India</t>
  </si>
  <si>
    <t>115-B Industrial Estate Polo ground Indore MP 452015</t>
  </si>
  <si>
    <t>93AA 896993</t>
  </si>
  <si>
    <t>Mr. Ashok Maheshwari</t>
  </si>
  <si>
    <t>Surojit Chakraborty</t>
  </si>
  <si>
    <t>Vice Precident - Business Operations</t>
  </si>
  <si>
    <t>Custom Broker Agreement</t>
  </si>
  <si>
    <t>First Floor, Survey No. 47/1 Bharapar Gandhidham Kutch 370205</t>
  </si>
  <si>
    <t>42AA 332127</t>
  </si>
  <si>
    <t>Mr Shani Sanghani</t>
  </si>
  <si>
    <t>Managing Director</t>
  </si>
  <si>
    <t>EB 996431</t>
  </si>
  <si>
    <t>Transportation Service Provider Agreement</t>
  </si>
  <si>
    <t>V Balkrishnan</t>
  </si>
  <si>
    <t>EB 996430</t>
  </si>
  <si>
    <t>K D Ganesh</t>
  </si>
  <si>
    <t>DR 916853</t>
  </si>
  <si>
    <t>Rahul Sachidananda Pande</t>
  </si>
  <si>
    <t>DH 535781</t>
  </si>
  <si>
    <t>Mr Naresh L. Gori</t>
  </si>
  <si>
    <t>Transporter</t>
  </si>
  <si>
    <t>115-B Industrial Estate Pologround Indore Madhya Pradesh India 452015</t>
  </si>
  <si>
    <t>Indore Ice and Cold Storage Pvt Ltd</t>
  </si>
  <si>
    <t>EB 996425</t>
  </si>
  <si>
    <t>DK 703786</t>
  </si>
  <si>
    <t>Mansi Thakkar</t>
  </si>
  <si>
    <t>Sensation Pest Control</t>
  </si>
  <si>
    <t>Office No:21, Second Floor, Goyal Avenue, Plot No:318, Ward:12/B,
Gandhidham. Kachchh - 370201</t>
  </si>
  <si>
    <t>EB 996434</t>
  </si>
  <si>
    <t>Pest Control Services Agreement</t>
  </si>
  <si>
    <t>Rahul Nair</t>
  </si>
  <si>
    <t>CEO</t>
  </si>
  <si>
    <t>EB  996437</t>
  </si>
  <si>
    <t>Bahnu B Behra</t>
  </si>
  <si>
    <t>Physical Stock Verification Agreement</t>
  </si>
  <si>
    <t>Surangan Bhattacharya</t>
  </si>
  <si>
    <t>DR 916842</t>
  </si>
  <si>
    <t>Fumigation Agreement</t>
  </si>
  <si>
    <t>K. Jagdeesan Nair</t>
  </si>
  <si>
    <t>DH 208157</t>
  </si>
  <si>
    <t>Vasanath Soovayanna Shetty</t>
  </si>
  <si>
    <t>DU 202481</t>
  </si>
  <si>
    <t>Addendum to the Service Provider Agreement</t>
  </si>
  <si>
    <t>Singh Traders</t>
  </si>
  <si>
    <t>DR 916841</t>
  </si>
  <si>
    <t>Siyanand Singh</t>
  </si>
  <si>
    <t>DR 916848</t>
  </si>
  <si>
    <t>Ravi Khona</t>
  </si>
  <si>
    <t>Import Executive</t>
  </si>
  <si>
    <t>DR 916849</t>
  </si>
  <si>
    <t>70/2 Siddhivinayak Estate Near Shri Siddhivinayak Weigh Bridge, Pimpri Dahisar Mori Mundra Panvel Road Thane 400612</t>
  </si>
  <si>
    <t>DR 916845</t>
  </si>
  <si>
    <t>Nishant Jayesh Chande</t>
  </si>
  <si>
    <t>DH 951126</t>
  </si>
  <si>
    <t>Custom House Agent Agreement</t>
  </si>
  <si>
    <t>Suman Roy</t>
  </si>
  <si>
    <t>DH 951130</t>
  </si>
  <si>
    <t>Sahitya Baid</t>
  </si>
  <si>
    <t>Global Marine Services</t>
  </si>
  <si>
    <t>DH 951128</t>
  </si>
  <si>
    <t>Abhishek Roy</t>
  </si>
  <si>
    <t>DH 535788</t>
  </si>
  <si>
    <t>Raghvendra Pratap Singh</t>
  </si>
  <si>
    <t>DK 703079</t>
  </si>
  <si>
    <t>Rohit Kumar Singh</t>
  </si>
  <si>
    <t>DK 703077</t>
  </si>
  <si>
    <t>Manoj KumarSingh</t>
  </si>
  <si>
    <t>Speedways Logistics Private Limited</t>
  </si>
  <si>
    <t>DH 535785</t>
  </si>
  <si>
    <t>Abhay Narayan Singh</t>
  </si>
  <si>
    <t>Vikash Logistics</t>
  </si>
  <si>
    <t>DH 535786</t>
  </si>
  <si>
    <t>Shiv Durga Logistics</t>
  </si>
  <si>
    <t>DH 535784</t>
  </si>
  <si>
    <t>Sandip Shaw</t>
  </si>
  <si>
    <t>Aarav Logistics</t>
  </si>
  <si>
    <t>DE 910649</t>
  </si>
  <si>
    <t>Ashutosh Pandey</t>
  </si>
  <si>
    <t>DP 560287</t>
  </si>
  <si>
    <t>Amit Rampyarelal Yadav</t>
  </si>
  <si>
    <t>DP World Rail Logistics Private Limited</t>
  </si>
  <si>
    <t>11th Floor One Horizon Center, Golf Course Road DLF Phase V Sector 43 Gurugram 122002 Haryana India</t>
  </si>
  <si>
    <t>DH 951125</t>
  </si>
  <si>
    <t>Ahdhendru Jain</t>
  </si>
  <si>
    <t>Vice President - Rail &amp; Inland Terminals - SCO</t>
  </si>
  <si>
    <t>DE 910648</t>
  </si>
  <si>
    <t>Dinesh Kumar</t>
  </si>
  <si>
    <t>HUF</t>
  </si>
  <si>
    <t>DU 202485</t>
  </si>
  <si>
    <t>Kanishka Sethia</t>
  </si>
  <si>
    <t>DU 202484</t>
  </si>
  <si>
    <t>Chief Executive Officer</t>
  </si>
  <si>
    <t>DR 916844</t>
  </si>
  <si>
    <t>79AA 032523</t>
  </si>
  <si>
    <t>Service Contract for Transportation of the goods to various destinations all over India</t>
  </si>
  <si>
    <t>Anshika Vaish</t>
  </si>
  <si>
    <t>COO</t>
  </si>
  <si>
    <t>93AA 896994</t>
  </si>
  <si>
    <t>Nilesh Ramaibai Patil</t>
  </si>
  <si>
    <t>57AA 549984</t>
  </si>
  <si>
    <t>Mayur Hariram Kari</t>
  </si>
  <si>
    <t>SGS India Private Limited</t>
  </si>
  <si>
    <t>DR 916855</t>
  </si>
  <si>
    <t>Surveyor Agreement</t>
  </si>
  <si>
    <t>K Meher</t>
  </si>
  <si>
    <t>DR 916843</t>
  </si>
  <si>
    <t>Pitamver Bhatt</t>
  </si>
  <si>
    <t>DR 916854</t>
  </si>
  <si>
    <t>DH 535779</t>
  </si>
  <si>
    <t>Mr Wasimoddin Ikaramoddin</t>
  </si>
  <si>
    <t>DR 916852</t>
  </si>
  <si>
    <t>M I Jaffar Ibrahim</t>
  </si>
  <si>
    <t>DK 703780</t>
  </si>
  <si>
    <t>DK 703789</t>
  </si>
  <si>
    <t>Ashish Kumar Tiwari</t>
  </si>
  <si>
    <t>Plot No 13 Thakurji Complex Opp Swaminarayan Temple N H No 8 Palsana</t>
  </si>
  <si>
    <t>DK 703782</t>
  </si>
  <si>
    <t>Chandrashekhar Shaligram Mishra</t>
  </si>
  <si>
    <t>DH 951122</t>
  </si>
  <si>
    <t>Pankaj Joiser</t>
  </si>
  <si>
    <t>DH 535780</t>
  </si>
  <si>
    <t>Mr Ajay Nikam</t>
  </si>
  <si>
    <t>Aadinath Roadways</t>
  </si>
  <si>
    <t>Dharmesh Damji Bhai Maisheri</t>
  </si>
  <si>
    <t>DH 535782</t>
  </si>
  <si>
    <t>DH 535778</t>
  </si>
  <si>
    <t>Jay Virchand Soni</t>
  </si>
  <si>
    <t>Partner</t>
  </si>
  <si>
    <t>DH 535777</t>
  </si>
  <si>
    <t>Sukhpal Singh</t>
  </si>
  <si>
    <t>DH 535776</t>
  </si>
  <si>
    <t>Nilesh Thakkar</t>
  </si>
  <si>
    <t>DK 703788</t>
  </si>
  <si>
    <t>Deepak Jamnadas Kothari</t>
  </si>
  <si>
    <t>DH 535772</t>
  </si>
  <si>
    <t>Mr Sushil More</t>
  </si>
  <si>
    <t>DK 703783</t>
  </si>
  <si>
    <t>Amit Kumar Agrawal</t>
  </si>
  <si>
    <t>DK 703787</t>
  </si>
  <si>
    <t>DK 703785</t>
  </si>
  <si>
    <t>Mr Turab Khaja Sab Viradar</t>
  </si>
  <si>
    <t>DH 535773</t>
  </si>
  <si>
    <t>Mr Ram Pyarelal Yadav</t>
  </si>
  <si>
    <t>DK 703784</t>
  </si>
  <si>
    <t>Mr Jasleen Chadha</t>
  </si>
  <si>
    <t>DR 916850</t>
  </si>
  <si>
    <t>Sreelata Mishra</t>
  </si>
  <si>
    <t>DR 916851</t>
  </si>
  <si>
    <t>R Arul Murugan - Director / R Jeeva Dev Anand - Manager</t>
  </si>
  <si>
    <t>10AB 803467</t>
  </si>
  <si>
    <t>Service Contract for Supervision of Cargo - Bulk Vessel &amp; Container</t>
  </si>
  <si>
    <t>Biswajit Panda</t>
  </si>
  <si>
    <t>54AA 313971</t>
  </si>
  <si>
    <t>Bharat Gajra</t>
  </si>
  <si>
    <t>19AB 761434</t>
  </si>
  <si>
    <t>Mehul Sanjay Gajra</t>
  </si>
  <si>
    <t>DK 701658</t>
  </si>
  <si>
    <t>Container Freight Station &amp; Cargo Handling Services Agreement</t>
  </si>
  <si>
    <t>R S Louis</t>
  </si>
  <si>
    <t>Executive Director (LI/CC)</t>
  </si>
  <si>
    <t>DK 703081</t>
  </si>
  <si>
    <t>Mr Capt. Mayur Paralkar</t>
  </si>
  <si>
    <t>CFS Head</t>
  </si>
  <si>
    <t>DK 703082</t>
  </si>
  <si>
    <t>Venugopal Shetty</t>
  </si>
  <si>
    <t>CFS - Facility Head</t>
  </si>
  <si>
    <t>Godrej Coliseum, Office No 801, C-Wing 8th Office Opp Somiya Hospital Road Everard Nagar Sion East Mumbai 400022</t>
  </si>
  <si>
    <t>DK 703084</t>
  </si>
  <si>
    <t>Percy Vapiwala</t>
  </si>
  <si>
    <t>Executive Director / PSA Ameya</t>
  </si>
  <si>
    <t>25AB 977607</t>
  </si>
  <si>
    <t>DK 703083</t>
  </si>
  <si>
    <t>Ajit Kumar Singh</t>
  </si>
  <si>
    <t xml:space="preserve">BH 128112 / BH 192907 / BH 192908 / BH 204620 / BH 204621 / BK 118173 / BK 118172 / BH 122906 / BH128111 / BH005620 / </t>
  </si>
  <si>
    <t>BH 218702</t>
  </si>
  <si>
    <t>BH 218703</t>
  </si>
  <si>
    <t>DR 916847</t>
  </si>
  <si>
    <t>EB 996439</t>
  </si>
  <si>
    <t>Supplemental Agreement</t>
  </si>
  <si>
    <t>11 Nepal Bhattacharjee Street, Ground Floor Kolkata 700026</t>
  </si>
  <si>
    <t>06AB 740444</t>
  </si>
  <si>
    <t>Service Contract Agreement</t>
  </si>
  <si>
    <t>Mr Sanjay Choubey</t>
  </si>
  <si>
    <t>Dada Transport</t>
  </si>
  <si>
    <t>Aakash Transport</t>
  </si>
  <si>
    <t>Mayur Transport</t>
  </si>
  <si>
    <t>Deepak Transport</t>
  </si>
  <si>
    <t>1 IRC House, Sunyat Sen Street, Kolkata West Bengal 700012</t>
  </si>
  <si>
    <t>47/9 Hide Road  Kolkata 700043</t>
  </si>
  <si>
    <t>Priva Enterprise</t>
  </si>
  <si>
    <t>Hard Copy Required from Kolkata</t>
  </si>
  <si>
    <t>Type of service</t>
  </si>
  <si>
    <t>Column32</t>
  </si>
  <si>
    <t>Column33</t>
  </si>
  <si>
    <t>Column34</t>
  </si>
  <si>
    <t>Column35</t>
  </si>
  <si>
    <t>Remark2</t>
  </si>
  <si>
    <t>DK 703075</t>
  </si>
  <si>
    <t>DH 951131</t>
  </si>
  <si>
    <t>Bhanu Pratawari</t>
  </si>
  <si>
    <t>EB 996428</t>
  </si>
  <si>
    <t>Aditya Gupta</t>
  </si>
  <si>
    <t>Concor Bhawan C-3 Mathura Road, Opp, Apollo Hospital, New Delhi 110 076</t>
  </si>
  <si>
    <t>Phonex Logistics Pvt Ltd</t>
  </si>
  <si>
    <t>A-1/46/1, Paharpur Road, P.O.PS - Rabindranagar, Kolkata, West Bengal 700066</t>
  </si>
  <si>
    <t>DR 916856</t>
  </si>
  <si>
    <t>Anjam Ghosh</t>
  </si>
  <si>
    <t>General Manager</t>
  </si>
  <si>
    <t>Lords Building, 7/1, Lord Sinha Road, Kolkata 700071</t>
  </si>
  <si>
    <t>DH 951129</t>
  </si>
  <si>
    <t>Narendra Sethia</t>
  </si>
  <si>
    <t>EB 996427</t>
  </si>
  <si>
    <t>Amit Kumar Mishra</t>
  </si>
  <si>
    <t>Sumran Roadline</t>
  </si>
  <si>
    <t>51/1/1 Strand Road, Kolkata 700006</t>
  </si>
  <si>
    <t>Suman Roadline</t>
  </si>
  <si>
    <t>DR 916840</t>
  </si>
  <si>
    <t>Sitaram Mahato</t>
  </si>
  <si>
    <t>49/5/2H, KM Sarani, Kiddipore, Kolkata, West Bengal, 700023</t>
  </si>
  <si>
    <t>EF 469987</t>
  </si>
  <si>
    <t>Akhilesh Kumar Singh</t>
  </si>
  <si>
    <t>EB 996436</t>
  </si>
  <si>
    <t>Ram A Rajai</t>
  </si>
  <si>
    <t>Vishal Mayani</t>
  </si>
  <si>
    <t>Warehouse / Labour</t>
  </si>
  <si>
    <t>EB 996429</t>
  </si>
  <si>
    <t>Kuashik Roy</t>
  </si>
  <si>
    <t>Import Director</t>
  </si>
  <si>
    <t>Godown No 1614 Ruby Market Kiravali Navi Mumbai Panvel Raigarh 410208</t>
  </si>
  <si>
    <t>EF 469984</t>
  </si>
  <si>
    <t>Bhavana Jayesh Chande</t>
  </si>
  <si>
    <t>EF 469983</t>
  </si>
  <si>
    <t>Kanchan R Yadav</t>
  </si>
  <si>
    <t>Veeru Roadlines</t>
  </si>
  <si>
    <t>314, Central Facility Building, Building No 2 Phase II, Vashi Navi Mumbai 400705</t>
  </si>
  <si>
    <t>EF 469986</t>
  </si>
  <si>
    <t>Archana Somling Patil</t>
  </si>
  <si>
    <t>Anant Transit LLP</t>
  </si>
  <si>
    <t>04 Opp New Bus Depot Dumping Cross Road Check Naka Mumbai City 400080</t>
  </si>
  <si>
    <t>EF 469985</t>
  </si>
  <si>
    <t>Vikas Atul Chothani</t>
  </si>
  <si>
    <t>Ley Ganga known as Benhur Bunglow, Bunglow No 1&amp;2 behind Benhur Apartments, 32 Narayan Dabholkar Road Mumbai 400006</t>
  </si>
  <si>
    <t>CF 467894</t>
  </si>
  <si>
    <t>Leave &amp; License Agreement</t>
  </si>
  <si>
    <t>Kokilaben Kanubhai Patel</t>
  </si>
  <si>
    <t>T P Roy Chowdhary &amp; Co Private Limited</t>
  </si>
  <si>
    <t>53/B Mirza Ghalib Street, 1st Floor Kolkata, West Bengal India 700016</t>
  </si>
  <si>
    <t>Stevedore</t>
  </si>
  <si>
    <t>EB 996422</t>
  </si>
  <si>
    <t>Stevedore Agreement</t>
  </si>
  <si>
    <t>Ramesh Balchandran</t>
  </si>
  <si>
    <t>Krushnabai Jagannath Walilkar</t>
  </si>
  <si>
    <t>Sr No 40/3/A At Dahisar Tal, Dist : Thane Mumbra Panvel Road 400612</t>
  </si>
  <si>
    <t>Transport / Warehouse /Fumigation / Loading -Unloading</t>
  </si>
  <si>
    <t xml:space="preserve"> Column16</t>
  </si>
  <si>
    <t>Jayanthi Transport</t>
  </si>
  <si>
    <t>Sri Mahalaxmi Transport</t>
  </si>
  <si>
    <t>AK Enterprise</t>
  </si>
  <si>
    <t>Alfa Road Ways</t>
  </si>
  <si>
    <t>Short Name</t>
  </si>
  <si>
    <t>VDM WH-5 KANDLA</t>
  </si>
  <si>
    <t>VDM WH-6 KANDLA</t>
  </si>
  <si>
    <t>VDM WH-7 KANDLA</t>
  </si>
  <si>
    <t>VDM WH- 8 KANDLA</t>
  </si>
  <si>
    <t>VDM WH- 9 KANDLA</t>
  </si>
  <si>
    <t>VDM WH- 2 KANDLA</t>
  </si>
  <si>
    <t>VDM WH- 4 KANDLA</t>
  </si>
  <si>
    <t>VDM WH- 1 KANDLA</t>
  </si>
  <si>
    <t>VDM WH- 3 KANDLA</t>
  </si>
  <si>
    <t>SeaboH- Bonded Wh CHENNAI</t>
  </si>
  <si>
    <t>SIAM H- PRIVATE KOLKATA</t>
  </si>
  <si>
    <t>NILKANTH WH 01 KANDLA</t>
  </si>
  <si>
    <t>NILKANTH WH 02 KANDLA</t>
  </si>
  <si>
    <t>MAHALAXMI WH KANDLA</t>
  </si>
  <si>
    <t>ADANI WH TALOJA</t>
  </si>
  <si>
    <t>IDEAL WH PONNERI ,THIRUVALLUR</t>
  </si>
  <si>
    <t>IDEAL WH ROAD, VELLIVOYALCHAVADI</t>
  </si>
  <si>
    <t>JAYAM WH PONNERI TALUK</t>
  </si>
  <si>
    <t>SRI WH ROAD, REDHILLS</t>
  </si>
  <si>
    <t>BALAJI- LTD CHENNAI</t>
  </si>
  <si>
    <t>SABARI WH LAKSHMIPURAM,REDHILLS</t>
  </si>
  <si>
    <t>SEAGATE WH VELLIVAYALCHAVADI, VICHOOR</t>
  </si>
  <si>
    <t>TCI TS SOUTH</t>
  </si>
  <si>
    <t>WESTERN TS WEST BENGAL</t>
  </si>
  <si>
    <t>FSW WH-6A KANDLA</t>
  </si>
  <si>
    <t>FSW WH-6B KANDLA</t>
  </si>
  <si>
    <t>FSW WH-6E KANDLA</t>
  </si>
  <si>
    <t>FSW WH-7C KANDLA</t>
  </si>
  <si>
    <t>SHIV MUNDRA</t>
  </si>
  <si>
    <t>KESHAV MUNDRA</t>
  </si>
  <si>
    <t>FRIENDS IMPEX MUNDRA</t>
  </si>
  <si>
    <t>A &amp; I God No 6 MUNDRA</t>
  </si>
  <si>
    <t>SHEETAL COLD VASHI</t>
  </si>
  <si>
    <t>MEHTA COLD VASHI</t>
  </si>
  <si>
    <t>INDORE COLD STORAGE</t>
  </si>
  <si>
    <t>ADARSH COLD INDORE</t>
  </si>
  <si>
    <t>SHRI KRISHNA COLD INDORE</t>
  </si>
  <si>
    <t>FRESHMART COLD MORBI</t>
  </si>
  <si>
    <t xml:space="preserve">SGS- LIMITED </t>
  </si>
  <si>
    <t>BaltiH- Control</t>
  </si>
  <si>
    <t>COTECNA</t>
  </si>
  <si>
    <t>RST ROADWAYS</t>
  </si>
  <si>
    <t>SPEEDWAYS</t>
  </si>
  <si>
    <t xml:space="preserve">TRS </t>
  </si>
  <si>
    <t>Vikas Logistic</t>
  </si>
  <si>
    <t>Amit Travel</t>
  </si>
  <si>
    <t>Avana Logitek</t>
  </si>
  <si>
    <t>CJ Darcel</t>
  </si>
  <si>
    <t>Concor</t>
  </si>
  <si>
    <t>Phonex Logistics</t>
  </si>
  <si>
    <t>Baid Shipping</t>
  </si>
  <si>
    <t>Estern Carrier</t>
  </si>
  <si>
    <t>Globle Marine</t>
  </si>
  <si>
    <t>Jagdeesan Nair</t>
  </si>
  <si>
    <t>All Cargo Terminal</t>
  </si>
  <si>
    <t>Care Container</t>
  </si>
  <si>
    <t>Dinesh Kumar Sharma Indore</t>
  </si>
  <si>
    <t>Shri Mahaveer Kandla</t>
  </si>
  <si>
    <t>Abhimanyu Logistic</t>
  </si>
  <si>
    <t>Western Carrier WH</t>
  </si>
  <si>
    <t>Hari &amp; Co</t>
  </si>
  <si>
    <t>SIP Dhanasekaran</t>
  </si>
  <si>
    <t>Shivam Shipping</t>
  </si>
  <si>
    <t>Speedy Multimodes</t>
  </si>
  <si>
    <t>J M Baxi</t>
  </si>
  <si>
    <t>Ameya Logistics</t>
  </si>
  <si>
    <t>Abhyansh Shipping Transport</t>
  </si>
  <si>
    <t>Rajesh Cargo Transport</t>
  </si>
  <si>
    <t xml:space="preserve">New Mahalaxmi Roadline </t>
  </si>
  <si>
    <t>New Mahalaxmi Roadwasy</t>
  </si>
  <si>
    <t>Shriniwasa Road Carrier</t>
  </si>
  <si>
    <t>Narshi Nehshi &amp; Sons</t>
  </si>
  <si>
    <t>J M Kothari Transport</t>
  </si>
  <si>
    <t>Amit Frieght Forwarders</t>
  </si>
  <si>
    <t>Amit Frieght Carriers</t>
  </si>
  <si>
    <t>Mehe Logistics</t>
  </si>
  <si>
    <t>Arihant Udyog NCML</t>
  </si>
  <si>
    <t>Swastik Agro</t>
  </si>
  <si>
    <t>Adani Port &amp; Logistic</t>
  </si>
  <si>
    <t>Vivek Frieght &amp; Logistics</t>
  </si>
  <si>
    <t>Sensation Pest control</t>
  </si>
  <si>
    <t>Liladhar Pasoo Forwarders</t>
  </si>
  <si>
    <t>Kokila Patel</t>
  </si>
  <si>
    <t>T P Roy Chowdhary</t>
  </si>
  <si>
    <t>Krushnabai Walilkar WH</t>
  </si>
  <si>
    <t>Alfred Knight</t>
  </si>
  <si>
    <t>Santosh Warehouse</t>
  </si>
  <si>
    <t>Manjiri Mhatre</t>
  </si>
  <si>
    <t>PM Complex Shop No 52 Chekkan Kadu Sandhu Shevapet Salem 636002</t>
  </si>
  <si>
    <t>Chennai</t>
  </si>
  <si>
    <t>EE 240738</t>
  </si>
  <si>
    <t>Krishnan Jayanthi</t>
  </si>
  <si>
    <t>Khurshid Ahmed</t>
  </si>
  <si>
    <t>14 P V Iyer Lane Broadway Chennai 600001</t>
  </si>
  <si>
    <t>EE 240737</t>
  </si>
  <si>
    <t>EE 240733</t>
  </si>
  <si>
    <t>No 225, Suranglam Main Road, Surmanglam Main Road Leigh Bazaar, Salem 636009</t>
  </si>
  <si>
    <t>EE 240739</t>
  </si>
  <si>
    <t>P Suresh Periyasamy</t>
  </si>
  <si>
    <t>Syed Madububjan</t>
  </si>
  <si>
    <t xml:space="preserve">BABAN WH </t>
  </si>
  <si>
    <t>Remaining Days</t>
  </si>
  <si>
    <t>Agreement is Live Original copy with Kolkata team - 19.01.2026</t>
  </si>
  <si>
    <t>Need to check with Kolkata</t>
  </si>
  <si>
    <t>Last page singnature pending from Kolkata</t>
  </si>
  <si>
    <t>Srinath Agencies - Farebasin Mumbai port</t>
  </si>
  <si>
    <t>8, 707C/707D, Ecstasy Business Park Citi of Joy J.S.D. Marg, Mulund West 400080</t>
  </si>
  <si>
    <t>EE 240744</t>
  </si>
  <si>
    <t>Send to Shree Shyam for signature 08.10.2025</t>
  </si>
  <si>
    <t>Sent for Client Singature 31.12.2025</t>
  </si>
  <si>
    <t>Need to check with MS</t>
  </si>
  <si>
    <t>Sub Leave &amp; License</t>
  </si>
  <si>
    <t>Client signature pending</t>
  </si>
  <si>
    <t>Sent for client signature 31.12.2025</t>
  </si>
  <si>
    <t>Ramchandra Tarapati Nisad</t>
  </si>
  <si>
    <t>Unit No 506 &amp; 507, 5th floor, CTS No 42, 455(PT)429, Hubtown Solaris, Saiwadi, NS Phadke Road, Andheri East Mumbai 400069</t>
  </si>
  <si>
    <t>Alfred H Knight India Pvt Ltd</t>
  </si>
  <si>
    <t>EE 240743</t>
  </si>
  <si>
    <t>Sanidhya Purohit</t>
  </si>
  <si>
    <t>Jackaroo Express</t>
  </si>
  <si>
    <t>Second 257, Shreemanta Market, Assam Trunk Road, Athgaon Kamrup Metropolitan, Assam 781001</t>
  </si>
  <si>
    <t>Sent for Client Singature 05.01.2026</t>
  </si>
  <si>
    <t>Column36</t>
  </si>
  <si>
    <t>EC 950122</t>
  </si>
  <si>
    <t>EJC Dock Junction, South Port, Brace Bridge, Kolkata Brace Bridge, West Bengal 700088</t>
  </si>
  <si>
    <t>Address2</t>
  </si>
  <si>
    <t>ED 184181</t>
  </si>
  <si>
    <t>Room No. 104, Kesarinath Building, Diva Sabe Road, Diva East, Mumbai, Thane 400612</t>
  </si>
  <si>
    <t>EA 768002</t>
  </si>
  <si>
    <t>Manjiri Narendra Mhatre</t>
  </si>
  <si>
    <t xml:space="preserve">213, 214, 215. The Summit - Business Bay, Opp Cinemax Off Andheri Kurla Road, Prakashwadi, Andheri East, Mumbai 400069, Maharashtra </t>
  </si>
  <si>
    <t>Cotecna Inspection</t>
  </si>
  <si>
    <t>Block No. 801, 8th Floor, Sumer Plaza, Marol Maroshi Road, Andheri East, 
Mumbai, Maharashtra 400059</t>
  </si>
  <si>
    <t>Soneta Container Movers</t>
  </si>
  <si>
    <t>National Commodities Management Services Private Limited</t>
  </si>
  <si>
    <t>NCMSL</t>
  </si>
  <si>
    <t>WeWork Vaswani Chambers, 2nd Floor 264-265, Dr Annie Besant Rd, Municipal Colony, Worli Shivaji Nagar, India 400030</t>
  </si>
  <si>
    <t>BT 384583</t>
  </si>
  <si>
    <t>Santosh Warehousing Complex Dhansar Taloja Panvel Road Raigad 410208</t>
  </si>
  <si>
    <t>Ramchandra Tarapati Nisad - Santosh WH</t>
  </si>
  <si>
    <t>ED 184188</t>
  </si>
  <si>
    <t>Ramchandra Tarapari Nisad</t>
  </si>
  <si>
    <t xml:space="preserve">Sahara </t>
  </si>
  <si>
    <t>1003 Purna Worli Sagar CHS LTD  SIR Pochkhanawala Road Worli Mumbai 400030</t>
  </si>
  <si>
    <t>Sahara - Vinay Mahadik</t>
  </si>
  <si>
    <t>EG 395394</t>
  </si>
  <si>
    <t>Vessel Protecting Agent Agreement</t>
  </si>
  <si>
    <t>Vinay R Mahadik</t>
  </si>
  <si>
    <t>SK TIWARI</t>
  </si>
  <si>
    <t>EC 950121</t>
  </si>
  <si>
    <t>Shailendra Kumar Tiwari</t>
  </si>
  <si>
    <t>Srinath Agencies - Mahaveer WH</t>
  </si>
  <si>
    <t>DK 486040</t>
  </si>
  <si>
    <t>Gajanan Vastu Residency CHS, 105, A-Wing, Thakurwadi, Kalu Nagar, Pt. Din Dayal Cross Road, Dombivli (East), Kalyan, Thane, Maharashtra 421202</t>
  </si>
  <si>
    <t>Hard Copy handover to Jagjeet for Signature</t>
  </si>
  <si>
    <t>EC950135</t>
  </si>
  <si>
    <t>Execution Date2</t>
  </si>
  <si>
    <t>Dharmesh Dinesh Soneta</t>
  </si>
  <si>
    <t>Hari &amp; Co. - Mannariah</t>
  </si>
  <si>
    <t>Sabari Logistics Solutions</t>
  </si>
  <si>
    <t>Request send for renewal 02.04.2026</t>
  </si>
  <si>
    <t>STAR AGRIWAREHOUSING &amp; COLLATERAL MANAGEMENT LIMITED - DATCHAYANI WH</t>
  </si>
  <si>
    <t>Vipul Enterprises</t>
  </si>
  <si>
    <t>Harbhole Warehouse no 03 Ekta</t>
  </si>
  <si>
    <t>Jayesh Chande - Harbhole Ekta</t>
  </si>
  <si>
    <t>EK 685760</t>
  </si>
  <si>
    <t xml:space="preserve">Jagannath Walilakar House No. 59 Walivali Gaouthan, Thane, Dahisar, Maharashtra 400612 </t>
  </si>
  <si>
    <t>EK 685759</t>
  </si>
  <si>
    <t>Deepan Walilkar</t>
  </si>
  <si>
    <t>550/1A &amp; B, 551/1 Pammadukulam Village,(Near Sipcot) Ellaiamman Pettai, Lakshmipuram, Redhills to Avadi Roads, Redhills Chennai - 600052</t>
  </si>
  <si>
    <t>EC 950136</t>
  </si>
  <si>
    <t>Sundaram Padmakumar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</si>
</sst>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quot;$&quot;* #,##0.00_);_(&quot;$&quot;* \(#,##0.00\);_(&quot;$&quot;* &quot;-&quot;??_);_(@_)"/>
  </numFmts>
  <fonts count="24" x14ac:knownFonts="1">
    <font>
      <sz val="10"/>
      <name val="Arial"/>
    </font>
    <font>
      <sz val="11"/>
      <color theme="1"/>
      <name val="Calibri"/>
      <family val="2"/>
      <scheme val="minor"/>
    </font>
    <font>
      <b/>
      <sz val="10"/>
      <color theme="1"/>
      <name val="Arial"/>
      <family val="2"/>
    </font>
    <font>
      <b/>
      <sz val="10"/>
      <name val="Arial"/>
      <family val="2"/>
    </font>
    <font>
      <b/>
      <sz val="10"/>
      <color theme="1"/>
      <name val="Arial"/>
      <family val="2"/>
    </font>
    <font>
      <sz val="10"/>
      <name val="Arial"/>
      <family val="2"/>
    </font>
    <font>
      <sz val="9"/>
      <color theme="1"/>
      <name val="Bookman Old Style"/>
      <family val="1"/>
    </font>
    <font>
      <sz val="9"/>
      <name val="Bookman Old Style"/>
      <family val="1"/>
    </font>
    <font>
      <sz val="9"/>
      <color rgb="FFFF0000"/>
      <name val="Bookman Old Style"/>
      <family val="1"/>
    </font>
    <font>
      <sz val="10"/>
      <color rgb="FF000000"/>
      <name val="Book Antiqua"/>
      <family val="1"/>
    </font>
    <font>
      <sz val="10"/>
      <name val="Tahoma"/>
      <family val="2"/>
    </font>
    <font>
      <sz val="11"/>
      <color rgb="FF000000"/>
      <name val="Calibri"/>
      <family val="2"/>
      <scheme val="minor"/>
    </font>
    <font>
      <sz val="9"/>
      <color theme="1"/>
      <name val="Calibri"/>
      <family val="2"/>
      <scheme val="minor"/>
    </font>
    <font>
      <sz val="10"/>
      <color rgb="FF000000"/>
      <name val="Calibri"/>
      <family val="2"/>
    </font>
    <font>
      <sz val="10"/>
      <name val="Calibri"/>
      <family val="2"/>
    </font>
    <font>
      <sz val="11"/>
      <color rgb="FF000000"/>
      <name val="Calibri"/>
      <family val="2"/>
    </font>
    <font>
      <sz val="11"/>
      <name val="Calibri"/>
      <family val="2"/>
    </font>
    <font>
      <sz val="11"/>
      <color rgb="FF000000"/>
      <name val="Times New Roman"/>
      <family val="1"/>
    </font>
    <font>
      <sz val="12"/>
      <name val="Cambria"/>
      <family val="1"/>
    </font>
    <font>
      <sz val="10"/>
      <name val="Arial"/>
      <family val="2"/>
    </font>
    <font>
      <sz val="11"/>
      <name val="Calibri Light"/>
      <family val="2"/>
      <scheme val="major"/>
    </font>
    <font>
      <b/>
      <sz val="10"/>
      <color rgb="FF002060"/>
      <name val="Arial"/>
      <family val="2"/>
    </font>
    <font>
      <sz val="10"/>
      <color rgb="FF002060"/>
      <name val="Arial"/>
      <family val="2"/>
    </font>
    <font>
      <sz val="8"/>
      <name val="Arial"/>
      <family val="2"/>
    </font>
  </fonts>
  <fills count="13">
    <fill>
      <patternFill patternType="none"/>
    </fill>
    <fill>
      <patternFill patternType="gray125"/>
    </fill>
    <fill>
      <patternFill patternType="solid">
        <fgColor theme="0" tint="-0.249977111117893"/>
        <bgColor theme="4" tint="0.79998168889431442"/>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theme="4" tint="0.79998168889431442"/>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FCCFF"/>
        <bgColor indexed="64"/>
      </patternFill>
    </fill>
    <fill>
      <patternFill patternType="solid">
        <fgColor rgb="FFFFFF00"/>
        <bgColor theme="4" tint="0.79998168889431442"/>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12">
    <xf numFmtId="0" fontId="0"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5" fillId="0" borderId="0"/>
    <xf numFmtId="0" fontId="5" fillId="0" borderId="0"/>
    <xf numFmtId="0" fontId="1" fillId="0" borderId="0"/>
    <xf numFmtId="0" fontId="1" fillId="0" borderId="0"/>
    <xf numFmtId="43" fontId="1" fillId="0" borderId="0" applyFont="0" applyFill="0" applyBorder="0" applyAlignment="0" applyProtection="0"/>
    <xf numFmtId="0" fontId="5" fillId="0" borderId="0"/>
    <xf numFmtId="0" fontId="5" fillId="0" borderId="0" applyNumberFormat="0" applyFill="0" applyBorder="0" applyAlignment="0" applyProtection="0"/>
    <xf numFmtId="43" fontId="19" fillId="0" borderId="0" applyFont="0" applyFill="0" applyBorder="0" applyAlignment="0" applyProtection="0"/>
  </cellStyleXfs>
  <cellXfs count="197">
    <xf numFmtId="0" fontId="0" fillId="0" borderId="0" xfId="0" applyAlignment="1">
      <alignment vertical="top"/>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0" fillId="0" borderId="1" xfId="0" applyBorder="1" applyAlignment="1">
      <alignment vertical="top"/>
    </xf>
    <xf numFmtId="0" fontId="4" fillId="2" borderId="1" xfId="0" applyFont="1" applyFill="1" applyBorder="1" applyAlignment="1">
      <alignment horizontal="left" vertical="center" wrapText="1"/>
    </xf>
    <xf numFmtId="0" fontId="0" fillId="0" borderId="0" xfId="0" applyAlignment="1">
      <alignment vertical="top" wrapText="1"/>
    </xf>
    <xf numFmtId="14" fontId="0" fillId="0" borderId="1" xfId="0" applyNumberFormat="1" applyBorder="1" applyAlignment="1">
      <alignment vertical="top"/>
    </xf>
    <xf numFmtId="0" fontId="5" fillId="0" borderId="1" xfId="0" applyFont="1" applyBorder="1" applyAlignment="1">
      <alignment vertical="top"/>
    </xf>
    <xf numFmtId="0" fontId="0" fillId="3" borderId="1" xfId="0" applyFill="1" applyBorder="1" applyAlignment="1">
      <alignment vertical="top"/>
    </xf>
    <xf numFmtId="0" fontId="0" fillId="3" borderId="0" xfId="0" applyFill="1" applyAlignment="1">
      <alignment vertical="top"/>
    </xf>
    <xf numFmtId="0" fontId="0" fillId="0" borderId="2" xfId="0" applyBorder="1" applyAlignment="1">
      <alignment vertical="top"/>
    </xf>
    <xf numFmtId="0" fontId="4" fillId="2" borderId="2" xfId="0" applyFont="1" applyFill="1" applyBorder="1" applyAlignment="1">
      <alignment horizontal="left" vertical="center" wrapText="1"/>
    </xf>
    <xf numFmtId="0" fontId="5" fillId="0" borderId="0" xfId="0" applyFont="1" applyAlignment="1">
      <alignment vertical="top"/>
    </xf>
    <xf numFmtId="0" fontId="0" fillId="0" borderId="1" xfId="0" applyBorder="1"/>
    <xf numFmtId="0" fontId="11" fillId="0" borderId="3" xfId="0" applyFont="1" applyBorder="1"/>
    <xf numFmtId="0" fontId="0" fillId="0" borderId="3" xfId="0" applyBorder="1"/>
    <xf numFmtId="0" fontId="5" fillId="0" borderId="1" xfId="0" applyFont="1" applyBorder="1"/>
    <xf numFmtId="0" fontId="6" fillId="4" borderId="1" xfId="0" applyFont="1" applyFill="1" applyBorder="1" applyAlignment="1">
      <alignment horizontal="center"/>
    </xf>
    <xf numFmtId="14" fontId="7" fillId="4" borderId="1" xfId="0" applyNumberFormat="1" applyFont="1" applyFill="1" applyBorder="1" applyAlignment="1">
      <alignment horizontal="center" vertical="top"/>
    </xf>
    <xf numFmtId="14" fontId="6" fillId="4" borderId="1" xfId="0" applyNumberFormat="1" applyFont="1" applyFill="1" applyBorder="1" applyAlignment="1">
      <alignment horizontal="center"/>
    </xf>
    <xf numFmtId="0" fontId="7" fillId="4" borderId="1" xfId="0" applyFont="1" applyFill="1" applyBorder="1" applyAlignment="1">
      <alignment horizontal="center" vertical="top" wrapText="1"/>
    </xf>
    <xf numFmtId="0" fontId="5" fillId="4" borderId="1" xfId="0" applyFont="1" applyFill="1" applyBorder="1" applyAlignment="1">
      <alignment vertical="top" wrapText="1"/>
    </xf>
    <xf numFmtId="0" fontId="0" fillId="4" borderId="0" xfId="0" applyFill="1" applyAlignment="1">
      <alignment vertical="top"/>
    </xf>
    <xf numFmtId="0" fontId="7" fillId="4" borderId="1" xfId="0" applyFont="1" applyFill="1" applyBorder="1" applyAlignment="1">
      <alignment horizontal="center" vertical="top"/>
    </xf>
    <xf numFmtId="0" fontId="5" fillId="4" borderId="1" xfId="0" applyFont="1" applyFill="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xf numFmtId="0" fontId="6" fillId="3" borderId="1" xfId="0" applyFont="1" applyFill="1" applyBorder="1" applyAlignment="1">
      <alignment horizontal="center"/>
    </xf>
    <xf numFmtId="14" fontId="7" fillId="3" borderId="1" xfId="0" applyNumberFormat="1" applyFont="1" applyFill="1" applyBorder="1" applyAlignment="1">
      <alignment horizontal="center" vertical="top"/>
    </xf>
    <xf numFmtId="0" fontId="7" fillId="3" borderId="1" xfId="0" applyFont="1" applyFill="1" applyBorder="1" applyAlignment="1">
      <alignment horizontal="center" vertical="top"/>
    </xf>
    <xf numFmtId="0" fontId="5" fillId="3" borderId="1" xfId="0" applyFont="1" applyFill="1" applyBorder="1" applyAlignment="1">
      <alignment vertical="top"/>
    </xf>
    <xf numFmtId="0" fontId="0" fillId="3" borderId="1" xfId="0" applyFill="1" applyBorder="1" applyAlignment="1">
      <alignment vertical="top" wrapText="1"/>
    </xf>
    <xf numFmtId="0" fontId="6" fillId="4" borderId="1" xfId="0" applyFont="1" applyFill="1" applyBorder="1" applyAlignment="1">
      <alignment vertical="center"/>
    </xf>
    <xf numFmtId="0" fontId="7" fillId="3" borderId="1" xfId="0" applyFont="1" applyFill="1" applyBorder="1" applyAlignment="1">
      <alignment horizontal="center" vertical="top" wrapText="1"/>
    </xf>
    <xf numFmtId="0" fontId="3" fillId="3" borderId="1" xfId="0" applyFont="1" applyFill="1" applyBorder="1" applyAlignment="1">
      <alignment horizontal="center" vertical="center"/>
    </xf>
    <xf numFmtId="0" fontId="13" fillId="4" borderId="1" xfId="0" applyFont="1" applyFill="1" applyBorder="1" applyAlignment="1">
      <alignment vertical="center" wrapText="1"/>
    </xf>
    <xf numFmtId="0" fontId="13" fillId="4" borderId="1" xfId="0" applyFont="1" applyFill="1" applyBorder="1" applyAlignment="1">
      <alignment vertical="center"/>
    </xf>
    <xf numFmtId="0" fontId="6" fillId="5" borderId="1" xfId="0" applyFont="1" applyFill="1" applyBorder="1" applyAlignment="1">
      <alignment horizontal="center"/>
    </xf>
    <xf numFmtId="14" fontId="7" fillId="5" borderId="1" xfId="0" applyNumberFormat="1" applyFont="1" applyFill="1" applyBorder="1" applyAlignment="1">
      <alignment horizontal="center" vertical="top"/>
    </xf>
    <xf numFmtId="0" fontId="7" fillId="5" borderId="1" xfId="0" applyFont="1" applyFill="1" applyBorder="1" applyAlignment="1">
      <alignment horizontal="center" vertical="top"/>
    </xf>
    <xf numFmtId="0" fontId="5" fillId="5" borderId="1" xfId="0" applyFont="1" applyFill="1" applyBorder="1" applyAlignment="1">
      <alignment vertical="top"/>
    </xf>
    <xf numFmtId="0" fontId="0" fillId="5" borderId="0" xfId="0" applyFill="1" applyAlignment="1">
      <alignment vertical="top"/>
    </xf>
    <xf numFmtId="0" fontId="6" fillId="5" borderId="1" xfId="0" applyFont="1" applyFill="1" applyBorder="1" applyAlignment="1">
      <alignment horizontal="center" wrapText="1"/>
    </xf>
    <xf numFmtId="14" fontId="6" fillId="5" borderId="1" xfId="0" applyNumberFormat="1" applyFont="1" applyFill="1" applyBorder="1" applyAlignment="1">
      <alignment horizontal="center"/>
    </xf>
    <xf numFmtId="0" fontId="5" fillId="5" borderId="1" xfId="0" applyFont="1" applyFill="1" applyBorder="1" applyAlignment="1">
      <alignment vertical="top" wrapText="1"/>
    </xf>
    <xf numFmtId="0" fontId="7" fillId="5" borderId="1" xfId="0" applyFont="1" applyFill="1" applyBorder="1" applyAlignment="1">
      <alignment horizontal="center" vertical="top" wrapText="1"/>
    </xf>
    <xf numFmtId="0" fontId="0" fillId="5" borderId="1" xfId="0" applyFill="1" applyBorder="1" applyAlignment="1">
      <alignment vertical="top"/>
    </xf>
    <xf numFmtId="14" fontId="0" fillId="5" borderId="1" xfId="0" applyNumberFormat="1" applyFill="1" applyBorder="1" applyAlignment="1">
      <alignment vertical="top"/>
    </xf>
    <xf numFmtId="0" fontId="6" fillId="4" borderId="1" xfId="0" applyFont="1" applyFill="1" applyBorder="1" applyAlignment="1">
      <alignment horizontal="left"/>
    </xf>
    <xf numFmtId="0" fontId="6" fillId="3" borderId="1" xfId="0" applyFont="1" applyFill="1" applyBorder="1" applyAlignment="1">
      <alignment horizontal="left"/>
    </xf>
    <xf numFmtId="0" fontId="7" fillId="3" borderId="1" xfId="0" applyFont="1" applyFill="1" applyBorder="1" applyAlignment="1">
      <alignment horizontal="left" vertical="top"/>
    </xf>
    <xf numFmtId="0" fontId="7" fillId="4" borderId="1" xfId="0" applyFont="1" applyFill="1" applyBorder="1" applyAlignment="1">
      <alignment horizontal="left" vertical="top"/>
    </xf>
    <xf numFmtId="0" fontId="6" fillId="5" borderId="1" xfId="0" applyFont="1" applyFill="1" applyBorder="1" applyAlignment="1">
      <alignment horizontal="left"/>
    </xf>
    <xf numFmtId="0" fontId="0" fillId="0" borderId="0" xfId="0" applyAlignment="1">
      <alignment horizontal="left" vertical="top"/>
    </xf>
    <xf numFmtId="0" fontId="5" fillId="5" borderId="1" xfId="0" applyFont="1" applyFill="1" applyBorder="1" applyAlignment="1">
      <alignment horizontal="center" vertical="top"/>
    </xf>
    <xf numFmtId="0" fontId="0" fillId="0" borderId="0" xfId="0" applyAlignment="1">
      <alignment horizontal="center" vertical="top"/>
    </xf>
    <xf numFmtId="0" fontId="12" fillId="5" borderId="1" xfId="0" applyFont="1" applyFill="1" applyBorder="1" applyAlignment="1">
      <alignment horizontal="left" vertical="center"/>
    </xf>
    <xf numFmtId="0" fontId="3" fillId="5" borderId="1" xfId="0" applyFont="1" applyFill="1" applyBorder="1" applyAlignment="1">
      <alignment horizontal="center" vertical="center"/>
    </xf>
    <xf numFmtId="0" fontId="15" fillId="5" borderId="1" xfId="0" applyFont="1" applyFill="1" applyBorder="1" applyAlignment="1">
      <alignment horizontal="left" vertical="top"/>
    </xf>
    <xf numFmtId="0" fontId="15" fillId="5" borderId="1" xfId="0" applyFont="1" applyFill="1" applyBorder="1" applyAlignment="1">
      <alignment vertical="top"/>
    </xf>
    <xf numFmtId="0" fontId="5" fillId="5" borderId="1" xfId="0" applyFont="1" applyFill="1" applyBorder="1" applyAlignment="1">
      <alignment horizontal="left" vertical="top"/>
    </xf>
    <xf numFmtId="0" fontId="5" fillId="5" borderId="1" xfId="0" applyFont="1" applyFill="1" applyBorder="1" applyAlignment="1">
      <alignment horizontal="left" vertical="top" wrapText="1"/>
    </xf>
    <xf numFmtId="0" fontId="16" fillId="5" borderId="1" xfId="0" applyFont="1" applyFill="1" applyBorder="1" applyAlignment="1">
      <alignment horizontal="left" vertical="top"/>
    </xf>
    <xf numFmtId="0" fontId="16" fillId="5" borderId="1" xfId="0" applyFont="1" applyFill="1" applyBorder="1" applyAlignment="1">
      <alignment vertical="top"/>
    </xf>
    <xf numFmtId="0" fontId="6" fillId="5" borderId="1" xfId="0" applyFont="1" applyFill="1" applyBorder="1" applyAlignment="1">
      <alignment horizontal="center" vertical="top"/>
    </xf>
    <xf numFmtId="0" fontId="0" fillId="5" borderId="1" xfId="0" applyFill="1" applyBorder="1" applyAlignment="1">
      <alignment vertical="center"/>
    </xf>
    <xf numFmtId="0" fontId="0" fillId="5" borderId="1" xfId="0" applyFill="1" applyBorder="1"/>
    <xf numFmtId="0" fontId="6" fillId="4" borderId="1" xfId="0" applyFont="1" applyFill="1" applyBorder="1" applyAlignment="1">
      <alignment horizontal="center" wrapText="1"/>
    </xf>
    <xf numFmtId="0" fontId="2" fillId="2" borderId="1" xfId="0" applyFont="1" applyFill="1" applyBorder="1" applyAlignment="1">
      <alignment horizontal="left" vertical="center"/>
    </xf>
    <xf numFmtId="0" fontId="3" fillId="4" borderId="1" xfId="0" applyFont="1" applyFill="1" applyBorder="1" applyAlignment="1">
      <alignment horizontal="center" vertical="center"/>
    </xf>
    <xf numFmtId="0" fontId="0" fillId="4" borderId="1" xfId="0" applyFill="1" applyBorder="1"/>
    <xf numFmtId="0" fontId="0" fillId="3" borderId="1" xfId="0" applyFill="1" applyBorder="1"/>
    <xf numFmtId="0" fontId="5" fillId="3" borderId="1" xfId="0" applyFont="1" applyFill="1" applyBorder="1"/>
    <xf numFmtId="0" fontId="5" fillId="4" borderId="1" xfId="0" applyFont="1" applyFill="1" applyBorder="1"/>
    <xf numFmtId="0" fontId="0" fillId="4" borderId="1" xfId="0" applyFill="1" applyBorder="1" applyAlignment="1">
      <alignment wrapText="1"/>
    </xf>
    <xf numFmtId="0" fontId="0" fillId="5" borderId="1" xfId="0" applyFill="1" applyBorder="1" applyAlignment="1">
      <alignment horizontal="left" vertical="top"/>
    </xf>
    <xf numFmtId="0" fontId="11" fillId="5" borderId="1" xfId="0" applyFont="1" applyFill="1" applyBorder="1"/>
    <xf numFmtId="0" fontId="0" fillId="5" borderId="1" xfId="0" applyFill="1" applyBorder="1" applyAlignment="1">
      <alignment wrapText="1"/>
    </xf>
    <xf numFmtId="0" fontId="13" fillId="4" borderId="1" xfId="0" applyFont="1" applyFill="1" applyBorder="1" applyAlignment="1">
      <alignment horizontal="left" vertical="center"/>
    </xf>
    <xf numFmtId="14" fontId="13" fillId="4" borderId="1" xfId="0" applyNumberFormat="1" applyFont="1" applyFill="1" applyBorder="1" applyAlignment="1">
      <alignment vertical="top"/>
    </xf>
    <xf numFmtId="0" fontId="13" fillId="4" borderId="1" xfId="0" applyFont="1" applyFill="1" applyBorder="1" applyAlignment="1">
      <alignment vertical="top"/>
    </xf>
    <xf numFmtId="0" fontId="13" fillId="4" borderId="1" xfId="0" applyFont="1" applyFill="1" applyBorder="1" applyAlignment="1">
      <alignment horizontal="left" vertical="center" wrapText="1"/>
    </xf>
    <xf numFmtId="0" fontId="0" fillId="5" borderId="1" xfId="0" applyFill="1" applyBorder="1" applyAlignment="1">
      <alignment vertical="top" wrapText="1"/>
    </xf>
    <xf numFmtId="0" fontId="0" fillId="5" borderId="1" xfId="0" applyFill="1" applyBorder="1" applyAlignment="1">
      <alignment horizontal="center" vertical="top"/>
    </xf>
    <xf numFmtId="0" fontId="7" fillId="5" borderId="1" xfId="0" applyFont="1" applyFill="1" applyBorder="1" applyAlignment="1">
      <alignment horizontal="left" vertical="top"/>
    </xf>
    <xf numFmtId="0" fontId="7" fillId="5" borderId="1" xfId="0" applyFont="1" applyFill="1" applyBorder="1" applyAlignment="1">
      <alignment horizontal="center" vertical="center"/>
    </xf>
    <xf numFmtId="0" fontId="0" fillId="5" borderId="1" xfId="0" applyFill="1" applyBorder="1" applyAlignment="1">
      <alignment horizontal="center" vertical="center"/>
    </xf>
    <xf numFmtId="0" fontId="15" fillId="4" borderId="1" xfId="0" applyFont="1" applyFill="1" applyBorder="1" applyAlignment="1">
      <alignment horizontal="left" vertical="center"/>
    </xf>
    <xf numFmtId="0" fontId="15" fillId="4" borderId="1" xfId="0" applyFont="1" applyFill="1" applyBorder="1" applyAlignment="1">
      <alignment vertical="center"/>
    </xf>
    <xf numFmtId="0" fontId="5" fillId="4" borderId="1" xfId="0" applyFont="1" applyFill="1" applyBorder="1" applyAlignment="1">
      <alignment horizontal="center" vertical="top"/>
    </xf>
    <xf numFmtId="14" fontId="0" fillId="4" borderId="1" xfId="0" applyNumberFormat="1" applyFill="1" applyBorder="1" applyAlignment="1">
      <alignment vertical="top"/>
    </xf>
    <xf numFmtId="0" fontId="11" fillId="4" borderId="1" xfId="1" applyFont="1" applyFill="1" applyBorder="1" applyAlignment="1">
      <alignment horizontal="left"/>
    </xf>
    <xf numFmtId="0" fontId="15" fillId="4" borderId="1" xfId="0" applyFont="1" applyFill="1" applyBorder="1" applyAlignment="1">
      <alignment vertical="top"/>
    </xf>
    <xf numFmtId="0" fontId="0" fillId="4" borderId="1" xfId="0" applyFill="1" applyBorder="1" applyAlignment="1">
      <alignment horizontal="center" vertical="top"/>
    </xf>
    <xf numFmtId="0" fontId="5" fillId="5" borderId="1" xfId="0" applyFont="1" applyFill="1" applyBorder="1" applyAlignment="1">
      <alignment horizontal="center" vertical="center"/>
    </xf>
    <xf numFmtId="14" fontId="0" fillId="5" borderId="1" xfId="0" applyNumberFormat="1" applyFill="1" applyBorder="1" applyAlignment="1">
      <alignment horizontal="center" vertical="top"/>
    </xf>
    <xf numFmtId="0" fontId="5" fillId="5" borderId="0" xfId="0" applyFont="1" applyFill="1" applyAlignment="1">
      <alignment vertical="top"/>
    </xf>
    <xf numFmtId="0" fontId="2" fillId="7" borderId="1" xfId="0" applyFont="1" applyFill="1" applyBorder="1" applyAlignment="1">
      <alignment horizontal="center" vertical="center"/>
    </xf>
    <xf numFmtId="0" fontId="2" fillId="7" borderId="1" xfId="0" applyFont="1" applyFill="1" applyBorder="1" applyAlignment="1">
      <alignment horizontal="left" vertical="center"/>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xf>
    <xf numFmtId="0" fontId="4" fillId="7" borderId="1" xfId="0" applyFont="1" applyFill="1" applyBorder="1" applyAlignment="1">
      <alignment horizontal="left" vertical="center" wrapText="1"/>
    </xf>
    <xf numFmtId="0" fontId="5" fillId="8" borderId="1" xfId="0" applyFont="1" applyFill="1" applyBorder="1" applyAlignment="1">
      <alignment vertical="top"/>
    </xf>
    <xf numFmtId="0" fontId="6" fillId="0" borderId="1" xfId="0" applyFont="1" applyBorder="1" applyAlignment="1">
      <alignment horizontal="center"/>
    </xf>
    <xf numFmtId="0" fontId="6" fillId="0" borderId="1" xfId="0" applyFont="1" applyBorder="1" applyAlignment="1">
      <alignment horizontal="left"/>
    </xf>
    <xf numFmtId="0" fontId="7" fillId="0" borderId="1" xfId="0" applyFont="1" applyBorder="1" applyAlignment="1">
      <alignment horizontal="center" vertical="top"/>
    </xf>
    <xf numFmtId="0" fontId="7" fillId="0" borderId="1" xfId="0" applyFont="1" applyBorder="1" applyAlignment="1">
      <alignment horizontal="left" vertical="top"/>
    </xf>
    <xf numFmtId="0" fontId="7" fillId="0" borderId="1" xfId="0" applyFont="1" applyBorder="1" applyAlignment="1">
      <alignment horizontal="center" vertical="top" wrapText="1"/>
    </xf>
    <xf numFmtId="0" fontId="15" fillId="0" borderId="1" xfId="0" applyFont="1" applyBorder="1" applyAlignment="1">
      <alignment vertical="top"/>
    </xf>
    <xf numFmtId="0" fontId="11" fillId="0" borderId="1" xfId="0" applyFont="1" applyBorder="1"/>
    <xf numFmtId="0" fontId="12" fillId="0" borderId="1" xfId="0" applyFont="1" applyBorder="1" applyAlignment="1">
      <alignment horizontal="left" vertical="center"/>
    </xf>
    <xf numFmtId="0" fontId="13" fillId="0" borderId="1" xfId="0" applyFont="1" applyBorder="1" applyAlignment="1">
      <alignment horizontal="left" vertical="center"/>
    </xf>
    <xf numFmtId="0" fontId="13" fillId="0" borderId="1" xfId="0" applyFont="1" applyBorder="1" applyAlignment="1">
      <alignment vertical="center"/>
    </xf>
    <xf numFmtId="0" fontId="15" fillId="0" borderId="1" xfId="0" applyFont="1" applyBorder="1" applyAlignment="1">
      <alignment horizontal="left" vertical="top"/>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5" fillId="0" borderId="1" xfId="0" applyFont="1" applyBorder="1" applyAlignment="1">
      <alignment horizontal="center" vertical="top"/>
    </xf>
    <xf numFmtId="0" fontId="16" fillId="0" borderId="1" xfId="0" applyFont="1" applyBorder="1" applyAlignment="1">
      <alignment horizontal="left" vertical="top"/>
    </xf>
    <xf numFmtId="0" fontId="16" fillId="0" borderId="1" xfId="0" applyFont="1" applyBorder="1" applyAlignment="1">
      <alignment vertical="top"/>
    </xf>
    <xf numFmtId="0" fontId="5" fillId="0" borderId="1" xfId="0" applyFont="1" applyBorder="1" applyAlignment="1">
      <alignment horizontal="center" vertical="center"/>
    </xf>
    <xf numFmtId="0" fontId="0" fillId="0" borderId="1" xfId="0" applyBorder="1" applyAlignment="1">
      <alignment horizontal="center" vertical="top"/>
    </xf>
    <xf numFmtId="0" fontId="17" fillId="0" borderId="1" xfId="0" applyFont="1" applyBorder="1" applyAlignment="1">
      <alignment vertical="top"/>
    </xf>
    <xf numFmtId="0" fontId="0" fillId="9" borderId="1" xfId="0" applyFill="1" applyBorder="1" applyAlignment="1">
      <alignment vertical="top"/>
    </xf>
    <xf numFmtId="14" fontId="0" fillId="0" borderId="0" xfId="0" applyNumberFormat="1" applyAlignment="1">
      <alignment vertical="top"/>
    </xf>
    <xf numFmtId="0" fontId="18" fillId="0" borderId="0" xfId="0" applyFont="1" applyAlignment="1">
      <alignment vertical="top"/>
    </xf>
    <xf numFmtId="14" fontId="18" fillId="0" borderId="0" xfId="0" applyNumberFormat="1" applyFont="1" applyAlignment="1">
      <alignment vertical="top"/>
    </xf>
    <xf numFmtId="0" fontId="0" fillId="0" borderId="0" xfId="0"/>
    <xf numFmtId="0" fontId="5" fillId="6" borderId="1" xfId="0" applyFont="1" applyFill="1" applyBorder="1" applyAlignment="1">
      <alignment vertical="top"/>
    </xf>
    <xf numFmtId="0" fontId="5" fillId="6" borderId="1" xfId="0" applyFont="1" applyFill="1" applyBorder="1" applyAlignment="1">
      <alignment horizontal="center" vertical="top"/>
    </xf>
    <xf numFmtId="0" fontId="5" fillId="6" borderId="1" xfId="0" applyFont="1" applyFill="1" applyBorder="1" applyAlignment="1">
      <alignment horizontal="left" vertical="top"/>
    </xf>
    <xf numFmtId="0" fontId="5" fillId="6" borderId="1" xfId="0" applyFont="1" applyFill="1" applyBorder="1" applyAlignment="1">
      <alignment vertical="top" wrapText="1"/>
    </xf>
    <xf numFmtId="2" fontId="5" fillId="6" borderId="1" xfId="0" applyNumberFormat="1" applyFont="1" applyFill="1" applyBorder="1" applyAlignment="1">
      <alignment vertical="top"/>
    </xf>
    <xf numFmtId="0" fontId="5" fillId="6" borderId="6" xfId="0" applyFont="1" applyFill="1" applyBorder="1" applyAlignment="1">
      <alignment vertical="top"/>
    </xf>
    <xf numFmtId="0" fontId="5" fillId="6" borderId="4" xfId="0" applyFont="1" applyFill="1" applyBorder="1" applyAlignment="1">
      <alignment vertical="top"/>
    </xf>
    <xf numFmtId="0" fontId="5" fillId="6" borderId="8" xfId="0" applyFont="1" applyFill="1" applyBorder="1" applyAlignment="1">
      <alignment vertical="top"/>
    </xf>
    <xf numFmtId="0" fontId="20" fillId="11" borderId="1" xfId="0" applyFont="1" applyFill="1" applyBorder="1" applyAlignment="1">
      <alignment horizontal="center" vertical="center"/>
    </xf>
    <xf numFmtId="0" fontId="20" fillId="6" borderId="1" xfId="0" applyFont="1" applyFill="1" applyBorder="1" applyAlignment="1">
      <alignment horizontal="center" vertical="center"/>
    </xf>
    <xf numFmtId="0" fontId="20" fillId="6" borderId="1" xfId="0" applyFont="1" applyFill="1" applyBorder="1" applyAlignment="1">
      <alignment horizontal="center" vertical="top"/>
    </xf>
    <xf numFmtId="2" fontId="20" fillId="6" borderId="1" xfId="0" applyNumberFormat="1" applyFont="1" applyFill="1" applyBorder="1" applyAlignment="1">
      <alignment vertical="top"/>
    </xf>
    <xf numFmtId="0" fontId="20" fillId="6" borderId="1" xfId="0" applyFont="1" applyFill="1" applyBorder="1" applyAlignment="1">
      <alignment vertical="top"/>
    </xf>
    <xf numFmtId="0" fontId="20" fillId="6" borderId="1" xfId="0" applyFont="1" applyFill="1" applyBorder="1" applyAlignment="1">
      <alignment horizontal="left" vertical="top"/>
    </xf>
    <xf numFmtId="0" fontId="20" fillId="6" borderId="1" xfId="0" applyFont="1" applyFill="1" applyBorder="1" applyAlignment="1">
      <alignment vertical="top" wrapText="1"/>
    </xf>
    <xf numFmtId="0" fontId="20" fillId="6" borderId="1" xfId="0" applyFont="1" applyFill="1" applyBorder="1" applyAlignment="1">
      <alignment vertical="center"/>
    </xf>
    <xf numFmtId="14" fontId="20" fillId="6" borderId="1" xfId="0" applyNumberFormat="1" applyFont="1" applyFill="1" applyBorder="1" applyAlignment="1">
      <alignment vertical="top"/>
    </xf>
    <xf numFmtId="0" fontId="20" fillId="6" borderId="1" xfId="0" applyFont="1" applyFill="1" applyBorder="1" applyAlignment="1">
      <alignment vertical="center" wrapText="1"/>
    </xf>
    <xf numFmtId="15" fontId="20" fillId="6" borderId="1" xfId="0" applyNumberFormat="1" applyFont="1" applyFill="1" applyBorder="1" applyAlignment="1">
      <alignment vertical="top"/>
    </xf>
    <xf numFmtId="0" fontId="20" fillId="6" borderId="4" xfId="0" applyFont="1" applyFill="1" applyBorder="1" applyAlignment="1">
      <alignment horizontal="center" vertical="top"/>
    </xf>
    <xf numFmtId="0" fontId="20" fillId="6" borderId="4" xfId="0" applyFont="1" applyFill="1" applyBorder="1" applyAlignment="1">
      <alignment vertical="top"/>
    </xf>
    <xf numFmtId="0" fontId="20" fillId="6" borderId="4" xfId="0" applyFont="1" applyFill="1" applyBorder="1" applyAlignment="1">
      <alignment horizontal="left" vertical="top"/>
    </xf>
    <xf numFmtId="15" fontId="20" fillId="6" borderId="4" xfId="0" applyNumberFormat="1" applyFont="1" applyFill="1" applyBorder="1" applyAlignment="1">
      <alignment vertical="top"/>
    </xf>
    <xf numFmtId="0" fontId="20" fillId="6" borderId="4" xfId="0" applyFont="1" applyFill="1" applyBorder="1" applyAlignment="1">
      <alignment vertical="top" wrapText="1"/>
    </xf>
    <xf numFmtId="0" fontId="20" fillId="11" borderId="1" xfId="0" applyFont="1" applyFill="1" applyBorder="1" applyAlignment="1">
      <alignment horizontal="center" vertical="top"/>
    </xf>
    <xf numFmtId="0" fontId="20" fillId="11" borderId="1" xfId="0" applyFont="1" applyFill="1" applyBorder="1" applyAlignment="1">
      <alignment vertical="top"/>
    </xf>
    <xf numFmtId="0" fontId="20" fillId="11" borderId="1" xfId="0" applyFont="1" applyFill="1" applyBorder="1" applyAlignment="1">
      <alignment vertical="top" wrapText="1"/>
    </xf>
    <xf numFmtId="14" fontId="20" fillId="11" borderId="1" xfId="0" applyNumberFormat="1" applyFont="1" applyFill="1" applyBorder="1" applyAlignment="1">
      <alignment vertical="top"/>
    </xf>
    <xf numFmtId="0" fontId="20" fillId="11" borderId="1" xfId="0" applyFont="1" applyFill="1" applyBorder="1" applyAlignment="1">
      <alignment horizontal="center" vertical="top" wrapText="1"/>
    </xf>
    <xf numFmtId="15" fontId="20" fillId="11" borderId="1" xfId="0" applyNumberFormat="1" applyFont="1" applyFill="1" applyBorder="1" applyAlignment="1">
      <alignment vertical="top"/>
    </xf>
    <xf numFmtId="0" fontId="5" fillId="11" borderId="1" xfId="0" applyFont="1" applyFill="1" applyBorder="1" applyAlignment="1">
      <alignment vertical="top"/>
    </xf>
    <xf numFmtId="0" fontId="5" fillId="11" borderId="6" xfId="0" applyFont="1" applyFill="1" applyBorder="1" applyAlignment="1">
      <alignment vertical="top"/>
    </xf>
    <xf numFmtId="0" fontId="20" fillId="11" borderId="1" xfId="0" applyFont="1" applyFill="1" applyBorder="1" applyAlignment="1">
      <alignment vertical="center"/>
    </xf>
    <xf numFmtId="0" fontId="20" fillId="11" borderId="1" xfId="0" applyFont="1" applyFill="1" applyBorder="1" applyAlignment="1">
      <alignment vertical="center" wrapText="1"/>
    </xf>
    <xf numFmtId="14" fontId="20" fillId="11" borderId="1" xfId="0" applyNumberFormat="1" applyFont="1" applyFill="1" applyBorder="1" applyAlignment="1">
      <alignment horizontal="right" vertical="center" wrapText="1"/>
    </xf>
    <xf numFmtId="0" fontId="20" fillId="11" borderId="1" xfId="0" applyFont="1" applyFill="1" applyBorder="1" applyAlignment="1">
      <alignment wrapText="1"/>
    </xf>
    <xf numFmtId="0" fontId="20" fillId="11" borderId="1" xfId="0" applyFont="1" applyFill="1" applyBorder="1"/>
    <xf numFmtId="0" fontId="20" fillId="11" borderId="1" xfId="0" applyFont="1" applyFill="1" applyBorder="1" applyAlignment="1">
      <alignment horizontal="left" vertical="top"/>
    </xf>
    <xf numFmtId="14" fontId="20" fillId="11" borderId="1" xfId="0" applyNumberFormat="1" applyFont="1" applyFill="1" applyBorder="1" applyAlignment="1">
      <alignment horizontal="center" vertical="center"/>
    </xf>
    <xf numFmtId="0" fontId="20" fillId="11" borderId="1" xfId="0" applyFont="1" applyFill="1" applyBorder="1" applyAlignment="1">
      <alignment horizontal="justify" vertical="center"/>
    </xf>
    <xf numFmtId="0" fontId="20" fillId="11" borderId="1" xfId="0" applyFont="1" applyFill="1" applyBorder="1" applyAlignment="1">
      <alignment horizontal="center"/>
    </xf>
    <xf numFmtId="0" fontId="20" fillId="11" borderId="1" xfId="0" applyFont="1" applyFill="1" applyBorder="1" applyAlignment="1">
      <alignment horizontal="left"/>
    </xf>
    <xf numFmtId="43" fontId="20" fillId="11" borderId="1" xfId="11" applyFont="1" applyFill="1" applyBorder="1" applyAlignment="1">
      <alignment horizontal="center" vertical="top"/>
    </xf>
    <xf numFmtId="0" fontId="21" fillId="6" borderId="1" xfId="0" applyFont="1" applyFill="1" applyBorder="1" applyAlignment="1">
      <alignment vertical="top"/>
    </xf>
    <xf numFmtId="0" fontId="22" fillId="6" borderId="5" xfId="0" applyFont="1" applyFill="1" applyBorder="1" applyAlignment="1">
      <alignment vertical="top"/>
    </xf>
    <xf numFmtId="0" fontId="21" fillId="7" borderId="2" xfId="0" applyFont="1" applyFill="1" applyBorder="1" applyAlignment="1">
      <alignment horizontal="center" vertical="center"/>
    </xf>
    <xf numFmtId="0" fontId="21" fillId="7" borderId="1" xfId="0" applyFont="1" applyFill="1" applyBorder="1" applyAlignment="1">
      <alignment horizontal="center" vertical="center"/>
    </xf>
    <xf numFmtId="0" fontId="21" fillId="7" borderId="1" xfId="0" applyFont="1" applyFill="1" applyBorder="1" applyAlignment="1">
      <alignment horizontal="left" vertical="center"/>
    </xf>
    <xf numFmtId="2" fontId="21" fillId="7" borderId="5" xfId="0" applyNumberFormat="1" applyFont="1" applyFill="1" applyBorder="1" applyAlignment="1">
      <alignment horizontal="center" vertical="center"/>
    </xf>
    <xf numFmtId="0" fontId="21" fillId="7" borderId="5" xfId="0" applyFont="1" applyFill="1" applyBorder="1" applyAlignment="1">
      <alignment horizontal="left" vertical="center"/>
    </xf>
    <xf numFmtId="0" fontId="21" fillId="7" borderId="1" xfId="0" applyFont="1" applyFill="1" applyBorder="1" applyAlignment="1">
      <alignment horizontal="left" vertical="center" wrapText="1"/>
    </xf>
    <xf numFmtId="0" fontId="21" fillId="8" borderId="1" xfId="0" applyFont="1" applyFill="1" applyBorder="1" applyAlignment="1">
      <alignment vertical="top"/>
    </xf>
    <xf numFmtId="0" fontId="22" fillId="10" borderId="1" xfId="0" applyFont="1" applyFill="1" applyBorder="1" applyAlignment="1">
      <alignment vertical="top"/>
    </xf>
    <xf numFmtId="0" fontId="22" fillId="6" borderId="7" xfId="0" applyFont="1" applyFill="1" applyBorder="1" applyAlignment="1">
      <alignment vertical="top"/>
    </xf>
    <xf numFmtId="0" fontId="21" fillId="12" borderId="1" xfId="0" applyFont="1" applyFill="1" applyBorder="1" applyAlignment="1">
      <alignment horizontal="center" vertical="center"/>
    </xf>
    <xf numFmtId="0" fontId="21" fillId="5" borderId="1" xfId="0" applyFont="1" applyFill="1" applyBorder="1" applyAlignment="1">
      <alignment vertical="top"/>
    </xf>
    <xf numFmtId="0" fontId="20" fillId="0" borderId="1" xfId="0" applyFont="1" applyBorder="1" applyAlignment="1">
      <alignment horizontal="center" vertical="top"/>
    </xf>
    <xf numFmtId="0" fontId="20" fillId="0" borderId="1" xfId="0" applyFont="1" applyBorder="1" applyAlignment="1">
      <alignment vertical="top"/>
    </xf>
    <xf numFmtId="0" fontId="20" fillId="0" borderId="1" xfId="0" applyFont="1" applyBorder="1" applyAlignment="1">
      <alignment horizontal="left" vertical="top"/>
    </xf>
    <xf numFmtId="0" fontId="20" fillId="0" borderId="1" xfId="0" applyFont="1" applyBorder="1" applyAlignment="1">
      <alignment vertical="center"/>
    </xf>
    <xf numFmtId="15" fontId="20" fillId="0" borderId="1" xfId="0" applyNumberFormat="1" applyFont="1" applyBorder="1" applyAlignment="1">
      <alignment vertical="top"/>
    </xf>
    <xf numFmtId="2" fontId="20" fillId="0" borderId="1" xfId="0" applyNumberFormat="1" applyFont="1" applyBorder="1" applyAlignment="1">
      <alignment vertical="top"/>
    </xf>
    <xf numFmtId="0" fontId="20" fillId="0" borderId="1" xfId="0" applyFont="1" applyBorder="1" applyAlignment="1">
      <alignment vertical="top" wrapText="1"/>
    </xf>
    <xf numFmtId="0" fontId="5" fillId="0" borderId="6" xfId="0" applyFont="1" applyBorder="1" applyAlignment="1">
      <alignment vertical="top"/>
    </xf>
    <xf numFmtId="2" fontId="20" fillId="6" borderId="4" xfId="0" applyNumberFormat="1" applyFont="1" applyFill="1" applyBorder="1" applyAlignment="1">
      <alignment vertical="top"/>
    </xf>
    <xf numFmtId="2" fontId="20" fillId="11" borderId="1" xfId="0" applyNumberFormat="1" applyFont="1" applyFill="1" applyBorder="1" applyAlignment="1">
      <alignment vertical="top"/>
    </xf>
    <xf numFmtId="0" fontId="7" fillId="5" borderId="1" xfId="0" applyFont="1" applyFill="1" applyBorder="1" applyAlignment="1">
      <alignment horizontal="center" vertical="center"/>
    </xf>
    <xf numFmtId="0" fontId="7" fillId="5" borderId="1" xfId="0" applyFont="1" applyFill="1" applyBorder="1" applyAlignment="1">
      <alignment horizontal="center" vertical="top" wrapText="1"/>
    </xf>
    <xf numFmtId="0" fontId="7" fillId="5" borderId="1" xfId="0" applyFont="1" applyFill="1" applyBorder="1" applyAlignment="1">
      <alignment horizontal="center" vertical="top"/>
    </xf>
  </cellXfs>
  <cellStyles count="12">
    <cellStyle name="Comma" xfId="11" builtinId="3"/>
    <cellStyle name="Comma 2" xfId="8" xr:uid="{47C6A363-50D9-4AD5-BD43-FED5C7D45F0A}"/>
    <cellStyle name="Comma 3" xfId="2" xr:uid="{99A643AA-3BD2-422F-A9D8-1A81DD7D9F14}"/>
    <cellStyle name="Currency 2" xfId="3" xr:uid="{191CC1C5-5E6E-4D42-9AE0-49558BAB2E8F}"/>
    <cellStyle name="Normal" xfId="0" builtinId="0"/>
    <cellStyle name="Normal 2" xfId="4" xr:uid="{0EAC32E6-BF57-4913-A3F7-6225725D5942}"/>
    <cellStyle name="Normal 2 2" xfId="10" xr:uid="{CCA15138-B99A-4984-96B2-00120D203E20}"/>
    <cellStyle name="Normal 3" xfId="5" xr:uid="{92740B6F-C463-45F9-916A-F837B6A92E3E}"/>
    <cellStyle name="Normal 3 2" xfId="6" xr:uid="{AC14AEA9-DB9E-4B8E-98E7-D424041CC67F}"/>
    <cellStyle name="Normal 4" xfId="7" xr:uid="{5A92FA7D-48F7-472A-8B32-3EB394B99CC0}"/>
    <cellStyle name="Normal 5" xfId="9" xr:uid="{795A1812-8E1C-402D-851B-31F06DBEA0DB}"/>
    <cellStyle name="Normal 6" xfId="1" xr:uid="{06AEB43D-F7D9-447F-862C-A38F8A37A949}"/>
  </cellStyles>
  <dxfs count="41">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numFmt numFmtId="20" formatCode="dd/mmm/yy"/>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numFmt numFmtId="20" formatCode="dd/mmm/yy"/>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numFmt numFmtId="20" formatCode="dd/mmm/yy"/>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numFmt numFmtId="20" formatCode="dd/mmm/yy"/>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numFmt numFmtId="2" formatCode="0.00"/>
      <fill>
        <patternFill patternType="solid">
          <fgColor indexed="64"/>
          <bgColor theme="0"/>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numFmt numFmtId="20" formatCode="dd/mmm/yy"/>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numFmt numFmtId="20" formatCode="dd/mmm/yy"/>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Light"/>
        <family val="2"/>
        <scheme val="major"/>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rgb="FF002060"/>
        <name val="Arial"/>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FCCFF"/>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Uday Mestry" id="{4FF21188-CD19-4A61-8107-F1DA172E42FB}" userId="S::warehouse.mumbai@etgworld.com::da8efe31-e24a-4b2a-b0cc-c2c304122f5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54D087-8E01-4817-B908-9B309C50BD98}" name="Table2" displayName="Table2" ref="A1:AJ158" totalsRowShown="0" headerRowDxfId="40" dataDxfId="38" headerRowBorderDxfId="39" tableBorderDxfId="37" totalsRowBorderDxfId="36">
  <autoFilter ref="A1:AJ158" xr:uid="{2554D087-8E01-4817-B908-9B309C50BD98}"/>
  <tableColumns count="36">
    <tableColumn id="1" xr3:uid="{48CF656B-92F3-4362-B8EE-2180039BC836}" name="Sr. No." dataDxfId="35"/>
    <tableColumn id="2" xr3:uid="{9927F073-1082-4559-827C-ADEA8A964E89}" name="Plant" dataDxfId="34"/>
    <tableColumn id="3" xr3:uid="{5947CFB6-5396-4F0D-A6EC-23452B0F2C64}" name="Entity" dataDxfId="33"/>
    <tableColumn id="4" xr3:uid="{A8F71E53-DE06-4D3C-BAB2-46600FAA3EA5}" name="Type of service" dataDxfId="32"/>
    <tableColumn id="5" xr3:uid="{0D5436BE-5342-4D9D-85C6-ABFA0C63D445}" name="Name" dataDxfId="31"/>
    <tableColumn id="36" xr3:uid="{ABA0F10F-D0BE-4479-A007-A723FC79BB92}" name="Short Name" dataDxfId="30"/>
    <tableColumn id="6" xr3:uid="{B5691517-E280-4F91-A77B-795CC1A671AA}" name="Address" dataDxfId="29"/>
    <tableColumn id="8" xr3:uid="{5A0B73CF-0798-41B0-AECF-3D291CEF71B6}" name="Remark" dataDxfId="28"/>
    <tableColumn id="9" xr3:uid="{17084D86-26C8-4E40-9344-D8FE1CA82F40}" name="Location" dataDxfId="27"/>
    <tableColumn id="10" xr3:uid="{4EF87D4D-A9CE-42B0-8978-EF4F5E069097}" name="Execution Date" dataDxfId="26"/>
    <tableColumn id="11" xr3:uid="{36B15D86-5941-4191-A504-BE7BBFA6A569}" name="Expiry Date" dataDxfId="25"/>
    <tableColumn id="12" xr3:uid="{225DEE03-79D4-4D70-A05E-689B90632BA9}" name="Remaining Days" dataDxfId="24">
      <calculatedColumnFormula>K2-TODAY()</calculatedColumnFormula>
    </tableColumn>
    <tableColumn id="13" xr3:uid="{FD5F35A6-D83A-4F3E-8A8B-3FE535118410}" name="Commencement Date" dataDxfId="23"/>
    <tableColumn id="14" xr3:uid="{980BF5F1-97F7-4165-AAEF-EF6956BF6929}" name="Storage charges" dataDxfId="22"/>
    <tableColumn id="15" xr3:uid="{A140F17B-03FC-4777-899A-26C43D8AB28F}" name="Labour Charges" dataDxfId="21"/>
    <tableColumn id="16" xr3:uid="{B129DE81-EB1E-4BB6-A8C9-EF9DC41A58D3}" name="Service Provider" dataDxfId="20"/>
    <tableColumn id="17" xr3:uid="{730B261F-F205-485B-A538-88D4685481E2}" name="Notary" dataDxfId="19"/>
    <tableColumn id="18" xr3:uid="{B2CEB037-E837-46A4-A750-145EC06CF793}" name="Remark2" dataDxfId="18"/>
    <tableColumn id="19" xr3:uid="{BAB671D6-E39C-41A4-9E53-95ADCC8D3182}" name="STATUS" dataDxfId="17"/>
    <tableColumn id="20" xr3:uid="{41A2B0EA-60B0-451B-B6D7-F1AD7A9D708B}" name="Document" dataDxfId="16"/>
    <tableColumn id="21" xr3:uid="{91430C0F-117F-4CF7-A796-7C5411F401CC}" name="Target" dataDxfId="15"/>
    <tableColumn id="22" xr3:uid="{791349BB-FE45-400D-9951-4F6C86D1EFCF}" name="Vendor Name" dataDxfId="14"/>
    <tableColumn id="23" xr3:uid="{FB1EA095-17CC-406F-A3B3-6CEAA5463847}" name="Address2" dataDxfId="13"/>
    <tableColumn id="24" xr3:uid="{9B60D75B-30FC-4819-A347-41B395DD81E6}" name="Stamp Paper Number" dataDxfId="12"/>
    <tableColumn id="25" xr3:uid="{887B19BB-0D09-4E6F-A07C-E1DE91408EAB}" name="Agreement Type" dataDxfId="11"/>
    <tableColumn id="26" xr3:uid="{A8A36D7A-FB59-497C-B095-78FBFF7FC35A}" name="Execution Date2" dataDxfId="10"/>
    <tableColumn id="27" xr3:uid="{9C72CD11-6D02-4F6E-93E5-68218C2C092D}" name="From" dataDxfId="9"/>
    <tableColumn id="28" xr3:uid="{FE59C407-6B26-415A-BAA1-3B05DDB8590A}" name="To" dataDxfId="8"/>
    <tableColumn id="29" xr3:uid="{4474A966-B907-4AF2-80E2-E4BE86EB6BAB}" name="Authorised Person" dataDxfId="7"/>
    <tableColumn id="30" xr3:uid="{7FFCFEBC-D3D6-4C60-8035-E514B84ECC3C}" name="Designation" dataDxfId="6"/>
    <tableColumn id="31" xr3:uid="{0402B23D-FA83-429A-A2BD-5FEEF1FBBD00}" name=" Column16" dataDxfId="5"/>
    <tableColumn id="32" xr3:uid="{362D8874-ECC5-451A-BE7E-49AE8C69BDB1}" name="Column32" dataDxfId="4"/>
    <tableColumn id="33" xr3:uid="{52FB1F7C-58EE-4C7B-A396-25F417E1EECB}" name="Column33" dataDxfId="3"/>
    <tableColumn id="34" xr3:uid="{5BD00AFA-C065-4FE9-9C86-CA24B6E9354C}" name="Column34" dataDxfId="2"/>
    <tableColumn id="35" xr3:uid="{98675C05-5AD1-4341-B18C-0CFEE45DBEDB}" name="Column35" dataDxfId="1"/>
    <tableColumn id="7" xr3:uid="{9CE7950D-4D7C-44F8-90F0-8D269E73B8EE}" name="Column36"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6" dT="2022-02-01T09:57:01.06" personId="{4FF21188-CD19-4A61-8107-F1DA172E42FB}" id="{C708C618-CA56-4F26-96E7-A06DB1C9F507}">
    <text>refer old agreement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D119" dT="2022-02-01T09:57:01.06" personId="{4FF21188-CD19-4A61-8107-F1DA172E42FB}" id="{4E42C886-E416-4281-AE7C-8123499A88A9}">
    <text>refer old agreement</text>
  </threadedComment>
  <threadedComment ref="D122" dT="2022-02-01T09:57:39.28" personId="{4FF21188-CD19-4A61-8107-F1DA172E42FB}" id="{EF2C03C0-B8E4-44FF-ADBD-D0011508BAB9}">
    <text>Port warehouse</text>
  </threadedComment>
  <threadedComment ref="D123" dT="2022-02-01T09:57:54.03" personId="{4FF21188-CD19-4A61-8107-F1DA172E42FB}" id="{1F58AC5D-9840-430B-A30A-F4942EBF8AFC}">
    <text>port wh</text>
  </threadedComment>
  <threadedComment ref="D125" dT="2022-02-01T09:59:01.44" personId="{4FF21188-CD19-4A61-8107-F1DA172E42FB}" id="{707DB0C5-3742-4ED0-A4C6-2FE3A8EEF745}">
    <text>port wh</text>
  </threadedComment>
</ThreadedComment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4CE6-065A-4E46-8BCD-27B1244EF01B}">
  <dimension ref="A1"/>
  <sheetViews>
    <sheetView workbookViewId="0"/>
  </sheetViews>
  <sheetFormatPr defaultRowHeight="12.7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49DBB-6FC8-4650-BDF0-8A5B583267C5}">
  <sheetPr>
    <pageSetUpPr fitToPage="1"/>
  </sheetPr>
  <dimension ref="A1:AJ158"/>
  <sheetViews>
    <sheetView tabSelected="1" zoomScaleNormal="100" workbookViewId="0">
      <pane ySplit="1" topLeftCell="A146" activePane="bottomLeft" state="frozen"/>
      <selection pane="bottomLeft" activeCell="F159" sqref="F159"/>
    </sheetView>
  </sheetViews>
  <sheetFormatPr defaultColWidth="9.140625" defaultRowHeight="12.75" x14ac:dyDescent="0.2"/>
  <cols>
    <col min="1" max="1" width="11.5703125" style="128" bestFit="1" customWidth="1"/>
    <col min="2" max="2" width="9.85546875" style="129" bestFit="1" customWidth="1"/>
    <col min="3" max="3" width="10.5703125" style="128" bestFit="1" customWidth="1"/>
    <col min="4" max="4" width="17.28515625" style="128" customWidth="1"/>
    <col min="5" max="5" width="21.85546875" style="130" customWidth="1"/>
    <col min="6" max="6" width="23.7109375" style="128" customWidth="1"/>
    <col min="7" max="7" width="31.28515625" style="129" customWidth="1"/>
    <col min="8" max="8" width="12.140625" style="129" bestFit="1" customWidth="1"/>
    <col min="9" max="9" width="19" style="128" bestFit="1" customWidth="1"/>
    <col min="10" max="10" width="18.7109375" style="128" bestFit="1" customWidth="1"/>
    <col min="11" max="11" width="15.5703125" style="132" bestFit="1" customWidth="1"/>
    <col min="12" max="12" width="19.5703125" style="128" bestFit="1" customWidth="1"/>
    <col min="13" max="13" width="18.42578125" style="128" customWidth="1"/>
    <col min="14" max="14" width="241.7109375" style="128" bestFit="1" customWidth="1"/>
    <col min="15" max="15" width="255.7109375" style="128" bestFit="1" customWidth="1"/>
    <col min="16" max="16" width="50.140625" style="128" bestFit="1" customWidth="1"/>
    <col min="17" max="17" width="5.7109375" style="131" bestFit="1" customWidth="1"/>
    <col min="18" max="18" width="33.140625" style="128" customWidth="1"/>
    <col min="19" max="19" width="17.7109375" style="128" bestFit="1" customWidth="1"/>
    <col min="20" max="20" width="18" style="128" bestFit="1" customWidth="1"/>
    <col min="21" max="21" width="10.28515625" style="128" bestFit="1" customWidth="1"/>
    <col min="22" max="22" width="50.140625" style="128" bestFit="1" customWidth="1"/>
    <col min="23" max="23" width="62.28515625" style="128" customWidth="1"/>
    <col min="24" max="24" width="21.85546875" style="128" customWidth="1"/>
    <col min="25" max="25" width="35.28515625" style="128" customWidth="1"/>
    <col min="26" max="26" width="17.5703125" style="128" bestFit="1" customWidth="1"/>
    <col min="27" max="27" width="10.5703125" style="128" bestFit="1" customWidth="1"/>
    <col min="28" max="28" width="10.28515625" style="128" bestFit="1" customWidth="1"/>
    <col min="29" max="29" width="26" style="128" customWidth="1"/>
    <col min="30" max="30" width="19.5703125" style="128" customWidth="1"/>
    <col min="31" max="31" width="12.42578125" style="128" bestFit="1" customWidth="1"/>
    <col min="32" max="36" width="11.85546875" style="128" bestFit="1" customWidth="1"/>
    <col min="37" max="16384" width="9.140625" style="128"/>
  </cols>
  <sheetData>
    <row r="1" spans="1:36" ht="25.5" x14ac:dyDescent="0.2">
      <c r="A1" s="173" t="s">
        <v>5</v>
      </c>
      <c r="B1" s="174" t="s">
        <v>3</v>
      </c>
      <c r="C1" s="174" t="s">
        <v>477</v>
      </c>
      <c r="D1" s="174" t="s">
        <v>1056</v>
      </c>
      <c r="E1" s="175" t="s">
        <v>4</v>
      </c>
      <c r="F1" s="175" t="s">
        <v>1124</v>
      </c>
      <c r="G1" s="174" t="s">
        <v>322</v>
      </c>
      <c r="H1" s="182" t="s">
        <v>90</v>
      </c>
      <c r="I1" s="174" t="s">
        <v>6</v>
      </c>
      <c r="J1" s="174" t="s">
        <v>358</v>
      </c>
      <c r="K1" s="174" t="s">
        <v>359</v>
      </c>
      <c r="L1" s="176" t="s">
        <v>1226</v>
      </c>
      <c r="M1" s="174" t="s">
        <v>360</v>
      </c>
      <c r="N1" s="174" t="s">
        <v>55</v>
      </c>
      <c r="O1" s="174" t="s">
        <v>56</v>
      </c>
      <c r="P1" s="177" t="s">
        <v>61</v>
      </c>
      <c r="Q1" s="178" t="s">
        <v>152</v>
      </c>
      <c r="R1" s="178" t="s">
        <v>1061</v>
      </c>
      <c r="S1" s="183" t="s">
        <v>499</v>
      </c>
      <c r="T1" s="179" t="s">
        <v>511</v>
      </c>
      <c r="U1" s="171" t="s">
        <v>539</v>
      </c>
      <c r="V1" s="180" t="s">
        <v>837</v>
      </c>
      <c r="W1" s="180" t="s">
        <v>1250</v>
      </c>
      <c r="X1" s="180" t="s">
        <v>838</v>
      </c>
      <c r="Y1" s="180" t="s">
        <v>839</v>
      </c>
      <c r="Z1" s="180" t="s">
        <v>1281</v>
      </c>
      <c r="AA1" s="180" t="s">
        <v>840</v>
      </c>
      <c r="AB1" s="180" t="s">
        <v>54</v>
      </c>
      <c r="AC1" s="180" t="s">
        <v>841</v>
      </c>
      <c r="AD1" s="180" t="s">
        <v>842</v>
      </c>
      <c r="AE1" s="172" t="s">
        <v>1119</v>
      </c>
      <c r="AF1" s="172" t="s">
        <v>1057</v>
      </c>
      <c r="AG1" s="172" t="s">
        <v>1058</v>
      </c>
      <c r="AH1" s="172" t="s">
        <v>1059</v>
      </c>
      <c r="AI1" s="181" t="s">
        <v>1060</v>
      </c>
      <c r="AJ1" s="172" t="s">
        <v>1247</v>
      </c>
    </row>
    <row r="2" spans="1:36" ht="90" customHeight="1" x14ac:dyDescent="0.2">
      <c r="A2" s="136"/>
      <c r="B2" s="152">
        <v>2041</v>
      </c>
      <c r="C2" s="153" t="s">
        <v>197</v>
      </c>
      <c r="D2" s="152" t="s">
        <v>679</v>
      </c>
      <c r="E2" s="153" t="s">
        <v>578</v>
      </c>
      <c r="F2" s="153" t="s">
        <v>1153</v>
      </c>
      <c r="G2" s="154" t="s">
        <v>579</v>
      </c>
      <c r="H2" s="152" t="s">
        <v>522</v>
      </c>
      <c r="I2" s="152" t="s">
        <v>245</v>
      </c>
      <c r="J2" s="155">
        <v>45824</v>
      </c>
      <c r="K2" s="155">
        <v>46173</v>
      </c>
      <c r="L2" s="139">
        <f t="shared" ref="L2:L38" ca="1" si="0">K2-TODAY()</f>
        <v>11</v>
      </c>
      <c r="M2" s="155">
        <v>45809</v>
      </c>
      <c r="N2" s="156" t="s">
        <v>580</v>
      </c>
      <c r="O2" s="153"/>
      <c r="P2" s="153" t="s">
        <v>248</v>
      </c>
      <c r="Q2" s="153"/>
      <c r="R2" s="154" t="s">
        <v>501</v>
      </c>
      <c r="S2" s="153" t="s">
        <v>371</v>
      </c>
      <c r="T2" s="153"/>
      <c r="U2" s="153"/>
      <c r="V2" s="153" t="s">
        <v>248</v>
      </c>
      <c r="W2" s="153" t="s">
        <v>751</v>
      </c>
      <c r="X2" s="153" t="s">
        <v>914</v>
      </c>
      <c r="Y2" s="153" t="s">
        <v>845</v>
      </c>
      <c r="Z2" s="157">
        <v>45824</v>
      </c>
      <c r="AA2" s="157">
        <v>45809</v>
      </c>
      <c r="AB2" s="157">
        <v>46173</v>
      </c>
      <c r="AC2" s="153" t="s">
        <v>912</v>
      </c>
      <c r="AD2" s="153" t="s">
        <v>913</v>
      </c>
      <c r="AE2" s="158"/>
      <c r="AF2" s="158"/>
      <c r="AG2" s="158"/>
      <c r="AH2" s="158"/>
      <c r="AI2" s="159"/>
    </row>
    <row r="3" spans="1:36" ht="60" customHeight="1" x14ac:dyDescent="0.2">
      <c r="A3" s="136"/>
      <c r="B3" s="152">
        <v>2041</v>
      </c>
      <c r="C3" s="153" t="s">
        <v>197</v>
      </c>
      <c r="D3" s="152" t="s">
        <v>679</v>
      </c>
      <c r="E3" s="154" t="s">
        <v>596</v>
      </c>
      <c r="F3" s="154" t="s">
        <v>1154</v>
      </c>
      <c r="G3" s="154" t="s">
        <v>599</v>
      </c>
      <c r="H3" s="152" t="s">
        <v>522</v>
      </c>
      <c r="I3" s="152" t="s">
        <v>245</v>
      </c>
      <c r="J3" s="155">
        <v>45824</v>
      </c>
      <c r="K3" s="155">
        <v>46173</v>
      </c>
      <c r="L3" s="139">
        <f t="shared" ca="1" si="0"/>
        <v>11</v>
      </c>
      <c r="M3" s="155">
        <v>45809</v>
      </c>
      <c r="N3" s="156" t="s">
        <v>580</v>
      </c>
      <c r="O3" s="153"/>
      <c r="P3" s="153" t="s">
        <v>248</v>
      </c>
      <c r="Q3" s="153"/>
      <c r="R3" s="154" t="s">
        <v>501</v>
      </c>
      <c r="S3" s="153" t="s">
        <v>371</v>
      </c>
      <c r="T3" s="153"/>
      <c r="U3" s="153"/>
      <c r="V3" s="153"/>
      <c r="W3" s="153"/>
      <c r="X3" s="153"/>
      <c r="Y3" s="153"/>
      <c r="Z3" s="153"/>
      <c r="AA3" s="153"/>
      <c r="AB3" s="153"/>
      <c r="AC3" s="153"/>
      <c r="AD3" s="153"/>
      <c r="AE3" s="158"/>
      <c r="AF3" s="158"/>
      <c r="AG3" s="158"/>
      <c r="AH3" s="158"/>
      <c r="AI3" s="159"/>
    </row>
    <row r="4" spans="1:36" ht="45" x14ac:dyDescent="0.2">
      <c r="A4" s="136"/>
      <c r="B4" s="152">
        <v>2041</v>
      </c>
      <c r="C4" s="153" t="s">
        <v>197</v>
      </c>
      <c r="D4" s="152" t="s">
        <v>679</v>
      </c>
      <c r="E4" s="153" t="s">
        <v>597</v>
      </c>
      <c r="F4" s="153" t="s">
        <v>1155</v>
      </c>
      <c r="G4" s="154" t="s">
        <v>598</v>
      </c>
      <c r="H4" s="152" t="s">
        <v>522</v>
      </c>
      <c r="I4" s="152" t="s">
        <v>245</v>
      </c>
      <c r="J4" s="155">
        <v>45824</v>
      </c>
      <c r="K4" s="155">
        <v>46173</v>
      </c>
      <c r="L4" s="139">
        <f t="shared" ca="1" si="0"/>
        <v>11</v>
      </c>
      <c r="M4" s="155">
        <v>45809</v>
      </c>
      <c r="N4" s="156" t="s">
        <v>580</v>
      </c>
      <c r="O4" s="153"/>
      <c r="P4" s="153" t="s">
        <v>248</v>
      </c>
      <c r="Q4" s="153"/>
      <c r="R4" s="154" t="s">
        <v>501</v>
      </c>
      <c r="S4" s="153" t="s">
        <v>371</v>
      </c>
      <c r="T4" s="153"/>
      <c r="U4" s="153"/>
      <c r="V4" s="153"/>
      <c r="W4" s="153"/>
      <c r="X4" s="153"/>
      <c r="Y4" s="153"/>
      <c r="Z4" s="153"/>
      <c r="AA4" s="153"/>
      <c r="AB4" s="153"/>
      <c r="AC4" s="153"/>
      <c r="AD4" s="153"/>
      <c r="AE4" s="158"/>
      <c r="AF4" s="158"/>
      <c r="AG4" s="158"/>
      <c r="AH4" s="158"/>
      <c r="AI4" s="159"/>
    </row>
    <row r="5" spans="1:36" ht="45" x14ac:dyDescent="0.2">
      <c r="A5" s="136"/>
      <c r="B5" s="152">
        <v>2151</v>
      </c>
      <c r="C5" s="153" t="s">
        <v>197</v>
      </c>
      <c r="D5" s="152" t="s">
        <v>679</v>
      </c>
      <c r="E5" s="160" t="s">
        <v>581</v>
      </c>
      <c r="F5" s="160" t="s">
        <v>1156</v>
      </c>
      <c r="G5" s="161" t="s">
        <v>589</v>
      </c>
      <c r="H5" s="152" t="s">
        <v>522</v>
      </c>
      <c r="I5" s="152" t="s">
        <v>594</v>
      </c>
      <c r="J5" s="155">
        <v>45855</v>
      </c>
      <c r="K5" s="155">
        <v>46950</v>
      </c>
      <c r="L5" s="193">
        <f t="shared" ca="1" si="0"/>
        <v>788</v>
      </c>
      <c r="M5" s="162">
        <v>45748</v>
      </c>
      <c r="N5" s="161" t="s">
        <v>595</v>
      </c>
      <c r="O5" s="153"/>
      <c r="P5" s="153" t="s">
        <v>248</v>
      </c>
      <c r="Q5" s="153"/>
      <c r="R5" s="154" t="s">
        <v>501</v>
      </c>
      <c r="S5" s="153" t="s">
        <v>371</v>
      </c>
      <c r="T5" s="153"/>
      <c r="U5" s="153"/>
      <c r="V5" s="153" t="s">
        <v>248</v>
      </c>
      <c r="W5" s="153" t="s">
        <v>751</v>
      </c>
      <c r="X5" s="153" t="s">
        <v>911</v>
      </c>
      <c r="Y5" s="153" t="s">
        <v>845</v>
      </c>
      <c r="Z5" s="157">
        <v>45855</v>
      </c>
      <c r="AA5" s="157">
        <v>45855</v>
      </c>
      <c r="AB5" s="157">
        <v>46950</v>
      </c>
      <c r="AC5" s="153" t="s">
        <v>912</v>
      </c>
      <c r="AD5" s="153" t="s">
        <v>913</v>
      </c>
      <c r="AE5" s="158"/>
      <c r="AF5" s="158"/>
      <c r="AG5" s="158"/>
      <c r="AH5" s="158"/>
      <c r="AI5" s="159"/>
    </row>
    <row r="6" spans="1:36" ht="60" x14ac:dyDescent="0.2">
      <c r="A6" s="136"/>
      <c r="B6" s="152">
        <v>2151</v>
      </c>
      <c r="C6" s="153" t="s">
        <v>197</v>
      </c>
      <c r="D6" s="152" t="s">
        <v>679</v>
      </c>
      <c r="E6" s="160" t="s">
        <v>582</v>
      </c>
      <c r="F6" s="160" t="s">
        <v>1149</v>
      </c>
      <c r="G6" s="161" t="s">
        <v>590</v>
      </c>
      <c r="H6" s="152" t="s">
        <v>522</v>
      </c>
      <c r="I6" s="152" t="s">
        <v>594</v>
      </c>
      <c r="J6" s="155">
        <v>45855</v>
      </c>
      <c r="K6" s="155">
        <v>46950</v>
      </c>
      <c r="L6" s="139">
        <f t="shared" ca="1" si="0"/>
        <v>788</v>
      </c>
      <c r="M6" s="162">
        <v>45748</v>
      </c>
      <c r="N6" s="161" t="s">
        <v>595</v>
      </c>
      <c r="O6" s="153"/>
      <c r="P6" s="153" t="s">
        <v>248</v>
      </c>
      <c r="Q6" s="153"/>
      <c r="R6" s="154" t="s">
        <v>501</v>
      </c>
      <c r="S6" s="153" t="s">
        <v>371</v>
      </c>
      <c r="T6" s="153"/>
      <c r="U6" s="153"/>
      <c r="V6" s="153"/>
      <c r="W6" s="153"/>
      <c r="X6" s="153"/>
      <c r="Y6" s="153"/>
      <c r="Z6" s="153"/>
      <c r="AA6" s="153"/>
      <c r="AB6" s="153"/>
      <c r="AC6" s="153"/>
      <c r="AD6" s="153"/>
      <c r="AE6" s="158"/>
      <c r="AF6" s="158"/>
      <c r="AG6" s="158"/>
      <c r="AH6" s="158"/>
      <c r="AI6" s="159"/>
    </row>
    <row r="7" spans="1:36" ht="60" x14ac:dyDescent="0.2">
      <c r="A7" s="136"/>
      <c r="B7" s="152">
        <v>2151</v>
      </c>
      <c r="C7" s="153" t="s">
        <v>197</v>
      </c>
      <c r="D7" s="152" t="s">
        <v>679</v>
      </c>
      <c r="E7" s="160" t="s">
        <v>583</v>
      </c>
      <c r="F7" s="160" t="s">
        <v>1150</v>
      </c>
      <c r="G7" s="161" t="s">
        <v>590</v>
      </c>
      <c r="H7" s="152" t="s">
        <v>522</v>
      </c>
      <c r="I7" s="152" t="s">
        <v>594</v>
      </c>
      <c r="J7" s="155">
        <v>45855</v>
      </c>
      <c r="K7" s="155">
        <v>46950</v>
      </c>
      <c r="L7" s="139">
        <f t="shared" ca="1" si="0"/>
        <v>788</v>
      </c>
      <c r="M7" s="162">
        <v>45748</v>
      </c>
      <c r="N7" s="161" t="s">
        <v>595</v>
      </c>
      <c r="O7" s="153"/>
      <c r="P7" s="153" t="s">
        <v>248</v>
      </c>
      <c r="Q7" s="153"/>
      <c r="R7" s="154" t="s">
        <v>501</v>
      </c>
      <c r="S7" s="153" t="s">
        <v>371</v>
      </c>
      <c r="T7" s="153"/>
      <c r="U7" s="153"/>
      <c r="V7" s="153"/>
      <c r="W7" s="153"/>
      <c r="X7" s="153"/>
      <c r="Y7" s="153"/>
      <c r="Z7" s="153"/>
      <c r="AA7" s="153"/>
      <c r="AB7" s="153"/>
      <c r="AC7" s="153"/>
      <c r="AD7" s="153"/>
      <c r="AE7" s="158"/>
      <c r="AF7" s="158"/>
      <c r="AG7" s="158"/>
      <c r="AH7" s="158"/>
      <c r="AI7" s="159"/>
    </row>
    <row r="8" spans="1:36" ht="60" x14ac:dyDescent="0.2">
      <c r="A8" s="136"/>
      <c r="B8" s="152">
        <v>2151</v>
      </c>
      <c r="C8" s="153" t="s">
        <v>197</v>
      </c>
      <c r="D8" s="152" t="s">
        <v>679</v>
      </c>
      <c r="E8" s="160" t="s">
        <v>584</v>
      </c>
      <c r="F8" s="160" t="s">
        <v>1151</v>
      </c>
      <c r="G8" s="161" t="s">
        <v>590</v>
      </c>
      <c r="H8" s="152" t="s">
        <v>522</v>
      </c>
      <c r="I8" s="152" t="s">
        <v>594</v>
      </c>
      <c r="J8" s="155">
        <v>45855</v>
      </c>
      <c r="K8" s="155">
        <v>46950</v>
      </c>
      <c r="L8" s="139">
        <f t="shared" ca="1" si="0"/>
        <v>788</v>
      </c>
      <c r="M8" s="162">
        <v>45748</v>
      </c>
      <c r="N8" s="161" t="s">
        <v>595</v>
      </c>
      <c r="O8" s="153"/>
      <c r="P8" s="153" t="s">
        <v>248</v>
      </c>
      <c r="Q8" s="153"/>
      <c r="R8" s="154" t="s">
        <v>501</v>
      </c>
      <c r="S8" s="153" t="s">
        <v>371</v>
      </c>
      <c r="T8" s="153"/>
      <c r="U8" s="153"/>
      <c r="V8" s="153"/>
      <c r="W8" s="153"/>
      <c r="X8" s="153"/>
      <c r="Y8" s="153"/>
      <c r="Z8" s="153"/>
      <c r="AA8" s="153"/>
      <c r="AB8" s="153"/>
      <c r="AC8" s="153"/>
      <c r="AD8" s="153"/>
      <c r="AE8" s="158"/>
      <c r="AF8" s="158"/>
      <c r="AG8" s="158"/>
      <c r="AH8" s="158"/>
      <c r="AI8" s="159"/>
    </row>
    <row r="9" spans="1:36" ht="60" x14ac:dyDescent="0.2">
      <c r="A9" s="136"/>
      <c r="B9" s="152">
        <v>2151</v>
      </c>
      <c r="C9" s="153" t="s">
        <v>197</v>
      </c>
      <c r="D9" s="152" t="s">
        <v>679</v>
      </c>
      <c r="E9" s="160" t="s">
        <v>585</v>
      </c>
      <c r="F9" s="160" t="s">
        <v>1152</v>
      </c>
      <c r="G9" s="161" t="s">
        <v>590</v>
      </c>
      <c r="H9" s="152" t="s">
        <v>522</v>
      </c>
      <c r="I9" s="152" t="s">
        <v>594</v>
      </c>
      <c r="J9" s="155">
        <v>45855</v>
      </c>
      <c r="K9" s="155">
        <v>46950</v>
      </c>
      <c r="L9" s="139">
        <f t="shared" ca="1" si="0"/>
        <v>788</v>
      </c>
      <c r="M9" s="162">
        <v>45748</v>
      </c>
      <c r="N9" s="161" t="s">
        <v>595</v>
      </c>
      <c r="O9" s="153"/>
      <c r="P9" s="153" t="s">
        <v>248</v>
      </c>
      <c r="Q9" s="153"/>
      <c r="R9" s="154" t="s">
        <v>501</v>
      </c>
      <c r="S9" s="153" t="s">
        <v>371</v>
      </c>
      <c r="T9" s="153"/>
      <c r="U9" s="153"/>
      <c r="V9" s="153"/>
      <c r="W9" s="153"/>
      <c r="X9" s="153"/>
      <c r="Y9" s="153"/>
      <c r="Z9" s="153"/>
      <c r="AA9" s="153"/>
      <c r="AB9" s="153"/>
      <c r="AC9" s="153"/>
      <c r="AD9" s="153"/>
      <c r="AE9" s="158"/>
      <c r="AF9" s="158"/>
      <c r="AG9" s="158"/>
      <c r="AH9" s="158"/>
      <c r="AI9" s="159"/>
    </row>
    <row r="10" spans="1:36" ht="45" x14ac:dyDescent="0.2">
      <c r="A10" s="136"/>
      <c r="B10" s="152">
        <v>2151</v>
      </c>
      <c r="C10" s="153" t="s">
        <v>197</v>
      </c>
      <c r="D10" s="152" t="s">
        <v>679</v>
      </c>
      <c r="E10" s="160" t="s">
        <v>712</v>
      </c>
      <c r="F10" s="160" t="s">
        <v>1125</v>
      </c>
      <c r="G10" s="161" t="s">
        <v>591</v>
      </c>
      <c r="H10" s="152" t="s">
        <v>522</v>
      </c>
      <c r="I10" s="152" t="s">
        <v>594</v>
      </c>
      <c r="J10" s="155">
        <v>45855</v>
      </c>
      <c r="K10" s="155">
        <v>46950</v>
      </c>
      <c r="L10" s="139">
        <f t="shared" ca="1" si="0"/>
        <v>788</v>
      </c>
      <c r="M10" s="162">
        <v>45748</v>
      </c>
      <c r="N10" s="161" t="s">
        <v>595</v>
      </c>
      <c r="O10" s="153"/>
      <c r="P10" s="153" t="s">
        <v>248</v>
      </c>
      <c r="Q10" s="153"/>
      <c r="R10" s="154" t="s">
        <v>501</v>
      </c>
      <c r="S10" s="153" t="s">
        <v>371</v>
      </c>
      <c r="T10" s="153"/>
      <c r="U10" s="153"/>
      <c r="V10" s="153"/>
      <c r="W10" s="153"/>
      <c r="X10" s="153"/>
      <c r="Y10" s="153"/>
      <c r="Z10" s="153"/>
      <c r="AA10" s="153"/>
      <c r="AB10" s="153"/>
      <c r="AC10" s="153"/>
      <c r="AD10" s="153"/>
      <c r="AE10" s="158"/>
      <c r="AF10" s="158"/>
      <c r="AG10" s="158"/>
      <c r="AH10" s="158"/>
      <c r="AI10" s="159"/>
    </row>
    <row r="11" spans="1:36" ht="45" x14ac:dyDescent="0.2">
      <c r="A11" s="136"/>
      <c r="B11" s="152">
        <v>2151</v>
      </c>
      <c r="C11" s="153" t="s">
        <v>197</v>
      </c>
      <c r="D11" s="152" t="s">
        <v>679</v>
      </c>
      <c r="E11" s="160" t="s">
        <v>711</v>
      </c>
      <c r="F11" s="160" t="s">
        <v>1126</v>
      </c>
      <c r="G11" s="161" t="s">
        <v>591</v>
      </c>
      <c r="H11" s="152" t="s">
        <v>522</v>
      </c>
      <c r="I11" s="152" t="s">
        <v>594</v>
      </c>
      <c r="J11" s="155">
        <v>45855</v>
      </c>
      <c r="K11" s="155">
        <v>46950</v>
      </c>
      <c r="L11" s="139">
        <f t="shared" ca="1" si="0"/>
        <v>788</v>
      </c>
      <c r="M11" s="162">
        <v>45748</v>
      </c>
      <c r="N11" s="161" t="s">
        <v>595</v>
      </c>
      <c r="O11" s="153"/>
      <c r="P11" s="153" t="s">
        <v>248</v>
      </c>
      <c r="Q11" s="153"/>
      <c r="R11" s="154" t="s">
        <v>501</v>
      </c>
      <c r="S11" s="153" t="s">
        <v>371</v>
      </c>
      <c r="T11" s="153"/>
      <c r="U11" s="153"/>
      <c r="V11" s="153"/>
      <c r="W11" s="153"/>
      <c r="X11" s="153"/>
      <c r="Y11" s="153"/>
      <c r="Z11" s="153"/>
      <c r="AA11" s="153"/>
      <c r="AB11" s="153"/>
      <c r="AC11" s="153"/>
      <c r="AD11" s="153"/>
      <c r="AE11" s="158"/>
      <c r="AF11" s="158"/>
      <c r="AG11" s="158"/>
      <c r="AH11" s="158"/>
      <c r="AI11" s="159"/>
    </row>
    <row r="12" spans="1:36" ht="45" x14ac:dyDescent="0.2">
      <c r="A12" s="136"/>
      <c r="B12" s="152">
        <v>2151</v>
      </c>
      <c r="C12" s="153" t="s">
        <v>197</v>
      </c>
      <c r="D12" s="152" t="s">
        <v>679</v>
      </c>
      <c r="E12" s="160" t="s">
        <v>710</v>
      </c>
      <c r="F12" s="160" t="s">
        <v>1127</v>
      </c>
      <c r="G12" s="161" t="s">
        <v>591</v>
      </c>
      <c r="H12" s="152" t="s">
        <v>522</v>
      </c>
      <c r="I12" s="152" t="s">
        <v>594</v>
      </c>
      <c r="J12" s="155">
        <v>45855</v>
      </c>
      <c r="K12" s="155">
        <v>46950</v>
      </c>
      <c r="L12" s="139">
        <f t="shared" ca="1" si="0"/>
        <v>788</v>
      </c>
      <c r="M12" s="162">
        <v>45748</v>
      </c>
      <c r="N12" s="161" t="s">
        <v>595</v>
      </c>
      <c r="O12" s="153"/>
      <c r="P12" s="153" t="s">
        <v>248</v>
      </c>
      <c r="Q12" s="153"/>
      <c r="R12" s="154" t="s">
        <v>501</v>
      </c>
      <c r="S12" s="153" t="s">
        <v>371</v>
      </c>
      <c r="T12" s="153"/>
      <c r="U12" s="153"/>
      <c r="V12" s="153"/>
      <c r="W12" s="153"/>
      <c r="X12" s="153"/>
      <c r="Y12" s="153"/>
      <c r="Z12" s="153"/>
      <c r="AA12" s="153"/>
      <c r="AB12" s="153"/>
      <c r="AC12" s="153"/>
      <c r="AD12" s="153"/>
      <c r="AE12" s="158"/>
      <c r="AF12" s="158"/>
      <c r="AG12" s="158"/>
      <c r="AH12" s="158"/>
      <c r="AI12" s="159"/>
    </row>
    <row r="13" spans="1:36" ht="45" x14ac:dyDescent="0.2">
      <c r="A13" s="136"/>
      <c r="B13" s="152">
        <v>2151</v>
      </c>
      <c r="C13" s="153" t="s">
        <v>197</v>
      </c>
      <c r="D13" s="152" t="s">
        <v>679</v>
      </c>
      <c r="E13" s="160" t="s">
        <v>709</v>
      </c>
      <c r="F13" s="160" t="s">
        <v>1128</v>
      </c>
      <c r="G13" s="161" t="s">
        <v>591</v>
      </c>
      <c r="H13" s="152" t="s">
        <v>522</v>
      </c>
      <c r="I13" s="152" t="s">
        <v>594</v>
      </c>
      <c r="J13" s="155">
        <v>45855</v>
      </c>
      <c r="K13" s="155">
        <v>46950</v>
      </c>
      <c r="L13" s="139">
        <f t="shared" ca="1" si="0"/>
        <v>788</v>
      </c>
      <c r="M13" s="162">
        <v>45748</v>
      </c>
      <c r="N13" s="161" t="s">
        <v>595</v>
      </c>
      <c r="O13" s="153"/>
      <c r="P13" s="153" t="s">
        <v>248</v>
      </c>
      <c r="Q13" s="153"/>
      <c r="R13" s="154" t="s">
        <v>501</v>
      </c>
      <c r="S13" s="153" t="s">
        <v>371</v>
      </c>
      <c r="T13" s="153"/>
      <c r="U13" s="153"/>
      <c r="V13" s="153"/>
      <c r="W13" s="153"/>
      <c r="X13" s="153"/>
      <c r="Y13" s="153"/>
      <c r="Z13" s="153"/>
      <c r="AA13" s="153"/>
      <c r="AB13" s="153"/>
      <c r="AC13" s="153"/>
      <c r="AD13" s="153"/>
      <c r="AE13" s="158"/>
      <c r="AF13" s="158"/>
      <c r="AG13" s="158"/>
      <c r="AH13" s="158"/>
      <c r="AI13" s="159"/>
    </row>
    <row r="14" spans="1:36" ht="45" x14ac:dyDescent="0.2">
      <c r="A14" s="136"/>
      <c r="B14" s="152">
        <v>2151</v>
      </c>
      <c r="C14" s="153" t="s">
        <v>197</v>
      </c>
      <c r="D14" s="152" t="s">
        <v>679</v>
      </c>
      <c r="E14" s="160" t="s">
        <v>708</v>
      </c>
      <c r="F14" s="160" t="s">
        <v>1129</v>
      </c>
      <c r="G14" s="161" t="s">
        <v>591</v>
      </c>
      <c r="H14" s="152" t="s">
        <v>522</v>
      </c>
      <c r="I14" s="152" t="s">
        <v>594</v>
      </c>
      <c r="J14" s="155">
        <v>45855</v>
      </c>
      <c r="K14" s="155">
        <v>46950</v>
      </c>
      <c r="L14" s="139">
        <f t="shared" ca="1" si="0"/>
        <v>788</v>
      </c>
      <c r="M14" s="162">
        <v>45748</v>
      </c>
      <c r="N14" s="161" t="s">
        <v>595</v>
      </c>
      <c r="O14" s="153"/>
      <c r="P14" s="153" t="s">
        <v>248</v>
      </c>
      <c r="Q14" s="153"/>
      <c r="R14" s="154" t="s">
        <v>501</v>
      </c>
      <c r="S14" s="153" t="s">
        <v>371</v>
      </c>
      <c r="T14" s="153"/>
      <c r="U14" s="153"/>
      <c r="V14" s="153"/>
      <c r="W14" s="153"/>
      <c r="X14" s="153"/>
      <c r="Y14" s="153"/>
      <c r="Z14" s="153"/>
      <c r="AA14" s="153"/>
      <c r="AB14" s="153"/>
      <c r="AC14" s="153"/>
      <c r="AD14" s="153"/>
      <c r="AE14" s="158"/>
      <c r="AF14" s="158"/>
      <c r="AG14" s="158"/>
      <c r="AH14" s="158"/>
      <c r="AI14" s="159"/>
    </row>
    <row r="15" spans="1:36" ht="45" x14ac:dyDescent="0.2">
      <c r="A15" s="136"/>
      <c r="B15" s="152">
        <v>2151</v>
      </c>
      <c r="C15" s="153" t="s">
        <v>197</v>
      </c>
      <c r="D15" s="152" t="s">
        <v>679</v>
      </c>
      <c r="E15" s="160" t="s">
        <v>707</v>
      </c>
      <c r="F15" s="160" t="s">
        <v>1130</v>
      </c>
      <c r="G15" s="161" t="s">
        <v>591</v>
      </c>
      <c r="H15" s="152" t="s">
        <v>522</v>
      </c>
      <c r="I15" s="152" t="s">
        <v>594</v>
      </c>
      <c r="J15" s="155">
        <v>45855</v>
      </c>
      <c r="K15" s="155">
        <v>46950</v>
      </c>
      <c r="L15" s="139">
        <f t="shared" ca="1" si="0"/>
        <v>788</v>
      </c>
      <c r="M15" s="162">
        <v>45748</v>
      </c>
      <c r="N15" s="161" t="s">
        <v>595</v>
      </c>
      <c r="O15" s="153"/>
      <c r="P15" s="153" t="s">
        <v>248</v>
      </c>
      <c r="Q15" s="153"/>
      <c r="R15" s="154" t="s">
        <v>501</v>
      </c>
      <c r="S15" s="153" t="s">
        <v>371</v>
      </c>
      <c r="T15" s="153"/>
      <c r="U15" s="153"/>
      <c r="V15" s="153"/>
      <c r="W15" s="153"/>
      <c r="X15" s="153"/>
      <c r="Y15" s="153"/>
      <c r="Z15" s="153"/>
      <c r="AA15" s="153"/>
      <c r="AB15" s="153"/>
      <c r="AC15" s="153"/>
      <c r="AD15" s="153"/>
      <c r="AE15" s="158"/>
      <c r="AF15" s="158"/>
      <c r="AG15" s="158"/>
      <c r="AH15" s="158"/>
      <c r="AI15" s="159"/>
    </row>
    <row r="16" spans="1:36" ht="45" x14ac:dyDescent="0.2">
      <c r="A16" s="136"/>
      <c r="B16" s="152">
        <v>2151</v>
      </c>
      <c r="C16" s="153" t="s">
        <v>197</v>
      </c>
      <c r="D16" s="152" t="s">
        <v>679</v>
      </c>
      <c r="E16" s="160" t="s">
        <v>706</v>
      </c>
      <c r="F16" s="160" t="s">
        <v>1131</v>
      </c>
      <c r="G16" s="161" t="s">
        <v>591</v>
      </c>
      <c r="H16" s="152" t="s">
        <v>522</v>
      </c>
      <c r="I16" s="152" t="s">
        <v>594</v>
      </c>
      <c r="J16" s="155">
        <v>45855</v>
      </c>
      <c r="K16" s="155">
        <v>46950</v>
      </c>
      <c r="L16" s="139">
        <f t="shared" ca="1" si="0"/>
        <v>788</v>
      </c>
      <c r="M16" s="162">
        <v>45748</v>
      </c>
      <c r="N16" s="161" t="s">
        <v>595</v>
      </c>
      <c r="O16" s="153"/>
      <c r="P16" s="153" t="s">
        <v>248</v>
      </c>
      <c r="Q16" s="153"/>
      <c r="R16" s="154" t="s">
        <v>501</v>
      </c>
      <c r="S16" s="153" t="s">
        <v>371</v>
      </c>
      <c r="T16" s="153"/>
      <c r="U16" s="153"/>
      <c r="V16" s="153"/>
      <c r="W16" s="153"/>
      <c r="X16" s="153"/>
      <c r="Y16" s="153"/>
      <c r="Z16" s="153"/>
      <c r="AA16" s="153"/>
      <c r="AB16" s="153"/>
      <c r="AC16" s="153"/>
      <c r="AD16" s="153"/>
      <c r="AE16" s="158"/>
      <c r="AF16" s="158"/>
      <c r="AG16" s="158"/>
      <c r="AH16" s="158"/>
      <c r="AI16" s="159"/>
    </row>
    <row r="17" spans="1:35" ht="75" x14ac:dyDescent="0.2">
      <c r="A17" s="136"/>
      <c r="B17" s="152">
        <v>2151</v>
      </c>
      <c r="C17" s="153" t="s">
        <v>197</v>
      </c>
      <c r="D17" s="152" t="s">
        <v>679</v>
      </c>
      <c r="E17" s="161" t="s">
        <v>586</v>
      </c>
      <c r="F17" s="160" t="s">
        <v>1136</v>
      </c>
      <c r="G17" s="161" t="s">
        <v>592</v>
      </c>
      <c r="H17" s="152" t="s">
        <v>522</v>
      </c>
      <c r="I17" s="152" t="s">
        <v>594</v>
      </c>
      <c r="J17" s="155">
        <v>45855</v>
      </c>
      <c r="K17" s="155">
        <v>46950</v>
      </c>
      <c r="L17" s="139">
        <f t="shared" ca="1" si="0"/>
        <v>788</v>
      </c>
      <c r="M17" s="162">
        <v>45748</v>
      </c>
      <c r="N17" s="161" t="s">
        <v>595</v>
      </c>
      <c r="O17" s="153"/>
      <c r="P17" s="153" t="s">
        <v>248</v>
      </c>
      <c r="Q17" s="153"/>
      <c r="R17" s="154" t="s">
        <v>501</v>
      </c>
      <c r="S17" s="153" t="s">
        <v>371</v>
      </c>
      <c r="T17" s="153"/>
      <c r="U17" s="153"/>
      <c r="V17" s="153"/>
      <c r="W17" s="153"/>
      <c r="X17" s="153"/>
      <c r="Y17" s="153"/>
      <c r="Z17" s="153"/>
      <c r="AA17" s="153"/>
      <c r="AB17" s="153"/>
      <c r="AC17" s="153"/>
      <c r="AD17" s="153"/>
      <c r="AE17" s="158"/>
      <c r="AF17" s="158"/>
      <c r="AG17" s="158"/>
      <c r="AH17" s="158"/>
      <c r="AI17" s="159"/>
    </row>
    <row r="18" spans="1:35" ht="75" x14ac:dyDescent="0.2">
      <c r="A18" s="136"/>
      <c r="B18" s="152">
        <v>2151</v>
      </c>
      <c r="C18" s="153" t="s">
        <v>197</v>
      </c>
      <c r="D18" s="152" t="s">
        <v>679</v>
      </c>
      <c r="E18" s="161" t="s">
        <v>587</v>
      </c>
      <c r="F18" s="160" t="s">
        <v>1137</v>
      </c>
      <c r="G18" s="161" t="s">
        <v>592</v>
      </c>
      <c r="H18" s="152" t="s">
        <v>522</v>
      </c>
      <c r="I18" s="152" t="s">
        <v>594</v>
      </c>
      <c r="J18" s="155">
        <v>45855</v>
      </c>
      <c r="K18" s="155">
        <v>46950</v>
      </c>
      <c r="L18" s="139">
        <f t="shared" ca="1" si="0"/>
        <v>788</v>
      </c>
      <c r="M18" s="162">
        <v>45748</v>
      </c>
      <c r="N18" s="161" t="s">
        <v>595</v>
      </c>
      <c r="O18" s="153"/>
      <c r="P18" s="153" t="s">
        <v>248</v>
      </c>
      <c r="Q18" s="153"/>
      <c r="R18" s="154" t="s">
        <v>501</v>
      </c>
      <c r="S18" s="153" t="s">
        <v>371</v>
      </c>
      <c r="T18" s="153"/>
      <c r="U18" s="153"/>
      <c r="V18" s="153"/>
      <c r="W18" s="153"/>
      <c r="X18" s="153"/>
      <c r="Y18" s="153"/>
      <c r="Z18" s="153"/>
      <c r="AA18" s="153"/>
      <c r="AB18" s="153"/>
      <c r="AC18" s="153"/>
      <c r="AD18" s="153"/>
      <c r="AE18" s="158"/>
      <c r="AF18" s="158"/>
      <c r="AG18" s="158"/>
      <c r="AH18" s="158"/>
      <c r="AI18" s="159"/>
    </row>
    <row r="19" spans="1:35" ht="45" x14ac:dyDescent="0.25">
      <c r="A19" s="136"/>
      <c r="B19" s="152">
        <v>2151</v>
      </c>
      <c r="C19" s="153" t="s">
        <v>197</v>
      </c>
      <c r="D19" s="152" t="s">
        <v>679</v>
      </c>
      <c r="E19" s="163" t="s">
        <v>588</v>
      </c>
      <c r="F19" s="160" t="s">
        <v>1138</v>
      </c>
      <c r="G19" s="161" t="s">
        <v>593</v>
      </c>
      <c r="H19" s="152" t="s">
        <v>522</v>
      </c>
      <c r="I19" s="152" t="s">
        <v>594</v>
      </c>
      <c r="J19" s="155">
        <v>45855</v>
      </c>
      <c r="K19" s="155">
        <v>46950</v>
      </c>
      <c r="L19" s="139">
        <f t="shared" ca="1" si="0"/>
        <v>788</v>
      </c>
      <c r="M19" s="162">
        <v>45748</v>
      </c>
      <c r="N19" s="161" t="s">
        <v>595</v>
      </c>
      <c r="O19" s="153"/>
      <c r="P19" s="153" t="s">
        <v>248</v>
      </c>
      <c r="Q19" s="153"/>
      <c r="R19" s="154" t="s">
        <v>501</v>
      </c>
      <c r="S19" s="153" t="s">
        <v>371</v>
      </c>
      <c r="T19" s="153"/>
      <c r="U19" s="153"/>
      <c r="V19" s="153"/>
      <c r="W19" s="153"/>
      <c r="X19" s="153"/>
      <c r="Y19" s="153"/>
      <c r="Z19" s="153"/>
      <c r="AA19" s="153"/>
      <c r="AB19" s="153"/>
      <c r="AC19" s="153"/>
      <c r="AD19" s="153"/>
      <c r="AE19" s="158"/>
      <c r="AF19" s="158"/>
      <c r="AG19" s="158"/>
      <c r="AH19" s="158"/>
      <c r="AI19" s="159"/>
    </row>
    <row r="20" spans="1:35" ht="45" x14ac:dyDescent="0.2">
      <c r="A20" s="136"/>
      <c r="B20" s="152">
        <v>2151</v>
      </c>
      <c r="C20" s="153" t="s">
        <v>197</v>
      </c>
      <c r="D20" s="152" t="s">
        <v>679</v>
      </c>
      <c r="E20" s="160" t="s">
        <v>705</v>
      </c>
      <c r="F20" s="160" t="s">
        <v>1132</v>
      </c>
      <c r="G20" s="161" t="s">
        <v>591</v>
      </c>
      <c r="H20" s="152" t="s">
        <v>522</v>
      </c>
      <c r="I20" s="152" t="s">
        <v>594</v>
      </c>
      <c r="J20" s="155">
        <v>45855</v>
      </c>
      <c r="K20" s="155">
        <v>46950</v>
      </c>
      <c r="L20" s="139">
        <f t="shared" ca="1" si="0"/>
        <v>788</v>
      </c>
      <c r="M20" s="162">
        <v>45748</v>
      </c>
      <c r="N20" s="161" t="s">
        <v>595</v>
      </c>
      <c r="O20" s="153"/>
      <c r="P20" s="153" t="s">
        <v>248</v>
      </c>
      <c r="Q20" s="153"/>
      <c r="R20" s="154" t="s">
        <v>501</v>
      </c>
      <c r="S20" s="153" t="s">
        <v>371</v>
      </c>
      <c r="T20" s="153"/>
      <c r="U20" s="153"/>
      <c r="V20" s="153"/>
      <c r="W20" s="153"/>
      <c r="X20" s="153"/>
      <c r="Y20" s="153"/>
      <c r="Z20" s="153"/>
      <c r="AA20" s="153"/>
      <c r="AB20" s="153"/>
      <c r="AC20" s="153"/>
      <c r="AD20" s="153"/>
      <c r="AE20" s="158"/>
      <c r="AF20" s="158"/>
      <c r="AG20" s="158"/>
      <c r="AH20" s="158"/>
      <c r="AI20" s="159"/>
    </row>
    <row r="21" spans="1:35" ht="45" x14ac:dyDescent="0.2">
      <c r="A21" s="136"/>
      <c r="B21" s="152">
        <v>2151</v>
      </c>
      <c r="C21" s="153" t="s">
        <v>197</v>
      </c>
      <c r="D21" s="152" t="s">
        <v>679</v>
      </c>
      <c r="E21" s="160" t="s">
        <v>704</v>
      </c>
      <c r="F21" s="160" t="s">
        <v>1133</v>
      </c>
      <c r="G21" s="161" t="s">
        <v>591</v>
      </c>
      <c r="H21" s="152" t="s">
        <v>522</v>
      </c>
      <c r="I21" s="152" t="s">
        <v>594</v>
      </c>
      <c r="J21" s="155">
        <v>45855</v>
      </c>
      <c r="K21" s="155">
        <v>46950</v>
      </c>
      <c r="L21" s="139">
        <f t="shared" ca="1" si="0"/>
        <v>788</v>
      </c>
      <c r="M21" s="162">
        <v>45748</v>
      </c>
      <c r="N21" s="161" t="s">
        <v>595</v>
      </c>
      <c r="O21" s="153"/>
      <c r="P21" s="153" t="s">
        <v>248</v>
      </c>
      <c r="Q21" s="153"/>
      <c r="R21" s="154" t="s">
        <v>501</v>
      </c>
      <c r="S21" s="153" t="s">
        <v>371</v>
      </c>
      <c r="T21" s="153"/>
      <c r="U21" s="153"/>
      <c r="V21" s="153"/>
      <c r="W21" s="153"/>
      <c r="X21" s="153"/>
      <c r="Y21" s="153"/>
      <c r="Z21" s="153"/>
      <c r="AA21" s="153"/>
      <c r="AB21" s="153"/>
      <c r="AC21" s="153"/>
      <c r="AD21" s="153"/>
      <c r="AE21" s="158"/>
      <c r="AF21" s="158"/>
      <c r="AG21" s="158"/>
      <c r="AH21" s="158"/>
      <c r="AI21" s="159"/>
    </row>
    <row r="22" spans="1:35" ht="90" x14ac:dyDescent="0.25">
      <c r="A22" s="136"/>
      <c r="B22" s="164">
        <v>2301</v>
      </c>
      <c r="C22" s="153" t="s">
        <v>197</v>
      </c>
      <c r="D22" s="152" t="s">
        <v>679</v>
      </c>
      <c r="E22" s="161" t="s">
        <v>600</v>
      </c>
      <c r="F22" s="160" t="s">
        <v>1225</v>
      </c>
      <c r="G22" s="154" t="s">
        <v>602</v>
      </c>
      <c r="H22" s="152" t="s">
        <v>522</v>
      </c>
      <c r="I22" s="152" t="s">
        <v>124</v>
      </c>
      <c r="J22" s="155">
        <v>45824</v>
      </c>
      <c r="K22" s="155">
        <v>46173</v>
      </c>
      <c r="L22" s="139">
        <f t="shared" ca="1" si="0"/>
        <v>11</v>
      </c>
      <c r="M22" s="155">
        <v>45809</v>
      </c>
      <c r="N22" s="153" t="s">
        <v>603</v>
      </c>
      <c r="O22" s="153"/>
      <c r="P22" s="153" t="s">
        <v>719</v>
      </c>
      <c r="Q22" s="153"/>
      <c r="R22" s="154" t="s">
        <v>501</v>
      </c>
      <c r="S22" s="153" t="s">
        <v>371</v>
      </c>
      <c r="T22" s="153"/>
      <c r="U22" s="153"/>
      <c r="V22" s="153" t="s">
        <v>719</v>
      </c>
      <c r="W22" s="153" t="s">
        <v>915</v>
      </c>
      <c r="X22" s="153" t="s">
        <v>916</v>
      </c>
      <c r="Y22" s="153" t="s">
        <v>845</v>
      </c>
      <c r="Z22" s="157">
        <v>45824</v>
      </c>
      <c r="AA22" s="157">
        <v>45809</v>
      </c>
      <c r="AB22" s="157">
        <v>46173</v>
      </c>
      <c r="AC22" s="153" t="s">
        <v>917</v>
      </c>
      <c r="AD22" s="153" t="s">
        <v>852</v>
      </c>
      <c r="AE22" s="158"/>
      <c r="AF22" s="158"/>
      <c r="AG22" s="158"/>
      <c r="AH22" s="158"/>
      <c r="AI22" s="159"/>
    </row>
    <row r="23" spans="1:35" ht="15" x14ac:dyDescent="0.25">
      <c r="A23" s="136"/>
      <c r="B23" s="164">
        <v>2316</v>
      </c>
      <c r="C23" s="153" t="s">
        <v>197</v>
      </c>
      <c r="D23" s="152" t="s">
        <v>679</v>
      </c>
      <c r="E23" s="165" t="s">
        <v>605</v>
      </c>
      <c r="F23" s="160" t="s">
        <v>1139</v>
      </c>
      <c r="G23" s="153" t="s">
        <v>604</v>
      </c>
      <c r="H23" s="152" t="s">
        <v>522</v>
      </c>
      <c r="I23" s="152" t="s">
        <v>124</v>
      </c>
      <c r="J23" s="155">
        <v>45824</v>
      </c>
      <c r="K23" s="155">
        <v>46173</v>
      </c>
      <c r="L23" s="139">
        <f t="shared" ca="1" si="0"/>
        <v>11</v>
      </c>
      <c r="M23" s="155">
        <v>45809</v>
      </c>
      <c r="N23" s="153" t="s">
        <v>603</v>
      </c>
      <c r="O23" s="153"/>
      <c r="P23" s="153" t="s">
        <v>719</v>
      </c>
      <c r="Q23" s="153"/>
      <c r="R23" s="154" t="s">
        <v>501</v>
      </c>
      <c r="S23" s="153" t="s">
        <v>371</v>
      </c>
      <c r="T23" s="153"/>
      <c r="U23" s="153"/>
      <c r="V23" s="153"/>
      <c r="W23" s="153"/>
      <c r="X23" s="153"/>
      <c r="Y23" s="153"/>
      <c r="Z23" s="153"/>
      <c r="AA23" s="153"/>
      <c r="AB23" s="153"/>
      <c r="AC23" s="153"/>
      <c r="AD23" s="153"/>
      <c r="AE23" s="158"/>
      <c r="AF23" s="158"/>
      <c r="AG23" s="158"/>
      <c r="AH23" s="158"/>
      <c r="AI23" s="159"/>
    </row>
    <row r="24" spans="1:35" ht="40.5" customHeight="1" x14ac:dyDescent="0.25">
      <c r="A24" s="136"/>
      <c r="B24" s="164" t="s">
        <v>632</v>
      </c>
      <c r="C24" s="153" t="s">
        <v>197</v>
      </c>
      <c r="D24" s="152" t="s">
        <v>679</v>
      </c>
      <c r="E24" s="160" t="s">
        <v>607</v>
      </c>
      <c r="F24" s="160" t="s">
        <v>1144</v>
      </c>
      <c r="G24" s="161" t="s">
        <v>613</v>
      </c>
      <c r="H24" s="152" t="s">
        <v>522</v>
      </c>
      <c r="I24" s="152" t="s">
        <v>45</v>
      </c>
      <c r="J24" s="155">
        <v>45566</v>
      </c>
      <c r="K24" s="155">
        <v>46660</v>
      </c>
      <c r="L24" s="139">
        <f t="shared" ca="1" si="0"/>
        <v>498</v>
      </c>
      <c r="M24" s="166">
        <v>45603</v>
      </c>
      <c r="N24" s="161" t="s">
        <v>619</v>
      </c>
      <c r="O24" s="161" t="s">
        <v>623</v>
      </c>
      <c r="P24" s="153" t="s">
        <v>105</v>
      </c>
      <c r="Q24" s="153"/>
      <c r="R24" s="154" t="s">
        <v>501</v>
      </c>
      <c r="S24" s="153" t="s">
        <v>618</v>
      </c>
      <c r="T24" s="153"/>
      <c r="U24" s="153"/>
      <c r="V24" s="153" t="s">
        <v>105</v>
      </c>
      <c r="W24" s="153" t="s">
        <v>750</v>
      </c>
      <c r="X24" s="153" t="s">
        <v>848</v>
      </c>
      <c r="Y24" s="153" t="s">
        <v>845</v>
      </c>
      <c r="Z24" s="157">
        <v>45566</v>
      </c>
      <c r="AA24" s="157">
        <v>45566</v>
      </c>
      <c r="AB24" s="157">
        <v>46660</v>
      </c>
      <c r="AC24" s="153" t="s">
        <v>849</v>
      </c>
      <c r="AD24" s="153" t="s">
        <v>850</v>
      </c>
      <c r="AE24" s="158"/>
      <c r="AF24" s="158"/>
      <c r="AG24" s="158"/>
      <c r="AH24" s="158"/>
      <c r="AI24" s="159"/>
    </row>
    <row r="25" spans="1:35" ht="30.75" customHeight="1" x14ac:dyDescent="0.25">
      <c r="A25" s="136"/>
      <c r="B25" s="164" t="s">
        <v>633</v>
      </c>
      <c r="C25" s="153" t="s">
        <v>197</v>
      </c>
      <c r="D25" s="152" t="s">
        <v>679</v>
      </c>
      <c r="E25" s="161" t="s">
        <v>701</v>
      </c>
      <c r="F25" s="160" t="s">
        <v>1140</v>
      </c>
      <c r="G25" s="161" t="s">
        <v>614</v>
      </c>
      <c r="H25" s="152" t="s">
        <v>522</v>
      </c>
      <c r="I25" s="152" t="s">
        <v>45</v>
      </c>
      <c r="J25" s="155">
        <v>45566</v>
      </c>
      <c r="K25" s="155">
        <v>46660</v>
      </c>
      <c r="L25" s="139">
        <f t="shared" ca="1" si="0"/>
        <v>498</v>
      </c>
      <c r="M25" s="166">
        <v>45603</v>
      </c>
      <c r="N25" s="161" t="s">
        <v>620</v>
      </c>
      <c r="O25" s="161" t="s">
        <v>624</v>
      </c>
      <c r="P25" s="153" t="s">
        <v>105</v>
      </c>
      <c r="Q25" s="153"/>
      <c r="R25" s="154" t="s">
        <v>501</v>
      </c>
      <c r="S25" s="153" t="s">
        <v>618</v>
      </c>
      <c r="T25" s="153"/>
      <c r="U25" s="153"/>
      <c r="V25" s="153"/>
      <c r="W25" s="153"/>
      <c r="X25" s="153"/>
      <c r="Y25" s="153"/>
      <c r="Z25" s="153"/>
      <c r="AA25" s="153"/>
      <c r="AB25" s="153"/>
      <c r="AC25" s="153"/>
      <c r="AD25" s="153"/>
      <c r="AE25" s="158"/>
      <c r="AF25" s="158"/>
      <c r="AG25" s="158"/>
      <c r="AH25" s="158"/>
      <c r="AI25" s="159"/>
    </row>
    <row r="26" spans="1:35" ht="39" customHeight="1" x14ac:dyDescent="0.25">
      <c r="A26" s="136"/>
      <c r="B26" s="164" t="s">
        <v>633</v>
      </c>
      <c r="C26" s="153" t="s">
        <v>197</v>
      </c>
      <c r="D26" s="152" t="s">
        <v>679</v>
      </c>
      <c r="E26" s="161" t="s">
        <v>608</v>
      </c>
      <c r="F26" s="160" t="s">
        <v>1141</v>
      </c>
      <c r="G26" s="161" t="s">
        <v>615</v>
      </c>
      <c r="H26" s="152" t="s">
        <v>522</v>
      </c>
      <c r="I26" s="152" t="s">
        <v>45</v>
      </c>
      <c r="J26" s="155">
        <v>45566</v>
      </c>
      <c r="K26" s="155">
        <v>46660</v>
      </c>
      <c r="L26" s="139">
        <f t="shared" ca="1" si="0"/>
        <v>498</v>
      </c>
      <c r="M26" s="166">
        <v>45603</v>
      </c>
      <c r="N26" s="161" t="s">
        <v>620</v>
      </c>
      <c r="O26" s="161" t="s">
        <v>624</v>
      </c>
      <c r="P26" s="153" t="s">
        <v>105</v>
      </c>
      <c r="Q26" s="153"/>
      <c r="R26" s="154" t="s">
        <v>501</v>
      </c>
      <c r="S26" s="153" t="s">
        <v>618</v>
      </c>
      <c r="T26" s="153"/>
      <c r="U26" s="153"/>
      <c r="V26" s="153"/>
      <c r="W26" s="153"/>
      <c r="X26" s="153"/>
      <c r="Y26" s="153"/>
      <c r="Z26" s="153"/>
      <c r="AA26" s="153"/>
      <c r="AB26" s="153"/>
      <c r="AC26" s="153"/>
      <c r="AD26" s="153"/>
      <c r="AE26" s="158"/>
      <c r="AF26" s="158"/>
      <c r="AG26" s="158"/>
      <c r="AH26" s="158"/>
      <c r="AI26" s="159"/>
    </row>
    <row r="27" spans="1:35" ht="24" customHeight="1" x14ac:dyDescent="0.25">
      <c r="A27" s="136"/>
      <c r="B27" s="164" t="s">
        <v>633</v>
      </c>
      <c r="C27" s="153" t="s">
        <v>197</v>
      </c>
      <c r="D27" s="152" t="s">
        <v>679</v>
      </c>
      <c r="E27" s="161" t="s">
        <v>609</v>
      </c>
      <c r="F27" s="160" t="s">
        <v>1142</v>
      </c>
      <c r="G27" s="161" t="s">
        <v>616</v>
      </c>
      <c r="H27" s="152" t="s">
        <v>522</v>
      </c>
      <c r="I27" s="152" t="s">
        <v>45</v>
      </c>
      <c r="J27" s="155">
        <v>45566</v>
      </c>
      <c r="K27" s="155">
        <v>46660</v>
      </c>
      <c r="L27" s="139">
        <f t="shared" ca="1" si="0"/>
        <v>498</v>
      </c>
      <c r="M27" s="166">
        <v>45603</v>
      </c>
      <c r="N27" s="161" t="s">
        <v>620</v>
      </c>
      <c r="O27" s="161" t="s">
        <v>624</v>
      </c>
      <c r="P27" s="153" t="s">
        <v>105</v>
      </c>
      <c r="Q27" s="153"/>
      <c r="R27" s="154" t="s">
        <v>501</v>
      </c>
      <c r="S27" s="153" t="s">
        <v>618</v>
      </c>
      <c r="T27" s="153"/>
      <c r="U27" s="153"/>
      <c r="V27" s="153"/>
      <c r="W27" s="153"/>
      <c r="X27" s="153"/>
      <c r="Y27" s="153"/>
      <c r="Z27" s="153"/>
      <c r="AA27" s="153"/>
      <c r="AB27" s="153"/>
      <c r="AC27" s="153"/>
      <c r="AD27" s="153"/>
      <c r="AE27" s="158"/>
      <c r="AF27" s="158"/>
      <c r="AG27" s="158"/>
      <c r="AH27" s="158"/>
      <c r="AI27" s="159"/>
    </row>
    <row r="28" spans="1:35" ht="20.25" customHeight="1" x14ac:dyDescent="0.25">
      <c r="A28" s="136"/>
      <c r="B28" s="164" t="s">
        <v>633</v>
      </c>
      <c r="C28" s="153" t="s">
        <v>197</v>
      </c>
      <c r="D28" s="152" t="s">
        <v>679</v>
      </c>
      <c r="E28" s="161" t="s">
        <v>610</v>
      </c>
      <c r="F28" s="160" t="s">
        <v>1143</v>
      </c>
      <c r="G28" s="161" t="s">
        <v>335</v>
      </c>
      <c r="H28" s="152" t="s">
        <v>522</v>
      </c>
      <c r="I28" s="152" t="s">
        <v>45</v>
      </c>
      <c r="J28" s="155">
        <v>45566</v>
      </c>
      <c r="K28" s="155">
        <v>46660</v>
      </c>
      <c r="L28" s="139">
        <f t="shared" ca="1" si="0"/>
        <v>498</v>
      </c>
      <c r="M28" s="166">
        <v>45603</v>
      </c>
      <c r="N28" s="161" t="s">
        <v>621</v>
      </c>
      <c r="O28" s="161" t="s">
        <v>624</v>
      </c>
      <c r="P28" s="153" t="s">
        <v>105</v>
      </c>
      <c r="Q28" s="153"/>
      <c r="R28" s="154" t="s">
        <v>501</v>
      </c>
      <c r="S28" s="153" t="s">
        <v>618</v>
      </c>
      <c r="T28" s="153"/>
      <c r="U28" s="153"/>
      <c r="V28" s="153"/>
      <c r="W28" s="153"/>
      <c r="X28" s="153"/>
      <c r="Y28" s="153"/>
      <c r="Z28" s="153"/>
      <c r="AA28" s="153"/>
      <c r="AB28" s="153"/>
      <c r="AC28" s="153"/>
      <c r="AD28" s="153"/>
      <c r="AE28" s="158"/>
      <c r="AF28" s="158"/>
      <c r="AG28" s="158"/>
      <c r="AH28" s="158"/>
      <c r="AI28" s="159"/>
    </row>
    <row r="29" spans="1:35" ht="42.75" customHeight="1" x14ac:dyDescent="0.25">
      <c r="A29" s="136"/>
      <c r="B29" s="164" t="s">
        <v>633</v>
      </c>
      <c r="C29" s="153" t="s">
        <v>197</v>
      </c>
      <c r="D29" s="152" t="s">
        <v>679</v>
      </c>
      <c r="E29" s="161" t="s">
        <v>611</v>
      </c>
      <c r="F29" s="160" t="s">
        <v>1145</v>
      </c>
      <c r="G29" s="161" t="s">
        <v>617</v>
      </c>
      <c r="H29" s="152" t="s">
        <v>522</v>
      </c>
      <c r="I29" s="152" t="s">
        <v>45</v>
      </c>
      <c r="J29" s="155">
        <v>45566</v>
      </c>
      <c r="K29" s="155">
        <v>46660</v>
      </c>
      <c r="L29" s="139">
        <f t="shared" ca="1" si="0"/>
        <v>498</v>
      </c>
      <c r="M29" s="166">
        <v>45603</v>
      </c>
      <c r="N29" s="161" t="s">
        <v>620</v>
      </c>
      <c r="O29" s="161" t="s">
        <v>625</v>
      </c>
      <c r="P29" s="153" t="s">
        <v>105</v>
      </c>
      <c r="Q29" s="153"/>
      <c r="R29" s="154" t="s">
        <v>501</v>
      </c>
      <c r="S29" s="153" t="s">
        <v>618</v>
      </c>
      <c r="T29" s="153"/>
      <c r="U29" s="153"/>
      <c r="V29" s="153"/>
      <c r="W29" s="153"/>
      <c r="X29" s="153"/>
      <c r="Y29" s="153"/>
      <c r="Z29" s="153"/>
      <c r="AA29" s="153"/>
      <c r="AB29" s="153"/>
      <c r="AC29" s="153"/>
      <c r="AD29" s="153"/>
      <c r="AE29" s="158"/>
      <c r="AF29" s="158"/>
      <c r="AG29" s="158"/>
      <c r="AH29" s="158"/>
      <c r="AI29" s="159"/>
    </row>
    <row r="30" spans="1:35" ht="32.25" customHeight="1" x14ac:dyDescent="0.25">
      <c r="A30" s="136"/>
      <c r="B30" s="164" t="s">
        <v>633</v>
      </c>
      <c r="C30" s="153" t="s">
        <v>197</v>
      </c>
      <c r="D30" s="152" t="s">
        <v>679</v>
      </c>
      <c r="E30" s="161" t="s">
        <v>612</v>
      </c>
      <c r="F30" s="160" t="s">
        <v>1134</v>
      </c>
      <c r="G30" s="161" t="s">
        <v>339</v>
      </c>
      <c r="H30" s="152" t="s">
        <v>522</v>
      </c>
      <c r="I30" s="152" t="s">
        <v>45</v>
      </c>
      <c r="J30" s="155">
        <v>45566</v>
      </c>
      <c r="K30" s="155">
        <v>46660</v>
      </c>
      <c r="L30" s="139">
        <f t="shared" ca="1" si="0"/>
        <v>498</v>
      </c>
      <c r="M30" s="166">
        <v>45603</v>
      </c>
      <c r="N30" s="161" t="s">
        <v>622</v>
      </c>
      <c r="O30" s="161" t="s">
        <v>625</v>
      </c>
      <c r="P30" s="153" t="s">
        <v>105</v>
      </c>
      <c r="Q30" s="153"/>
      <c r="R30" s="154" t="s">
        <v>501</v>
      </c>
      <c r="S30" s="153" t="s">
        <v>618</v>
      </c>
      <c r="T30" s="153"/>
      <c r="U30" s="153"/>
      <c r="V30" s="153"/>
      <c r="W30" s="153"/>
      <c r="X30" s="153"/>
      <c r="Y30" s="153"/>
      <c r="Z30" s="153"/>
      <c r="AA30" s="153"/>
      <c r="AB30" s="153"/>
      <c r="AC30" s="153"/>
      <c r="AD30" s="153"/>
      <c r="AE30" s="158"/>
      <c r="AF30" s="158"/>
      <c r="AG30" s="158"/>
      <c r="AH30" s="158"/>
      <c r="AI30" s="159"/>
    </row>
    <row r="31" spans="1:35" ht="90" x14ac:dyDescent="0.25">
      <c r="A31" s="136"/>
      <c r="B31" s="164" t="s">
        <v>633</v>
      </c>
      <c r="C31" s="153" t="s">
        <v>197</v>
      </c>
      <c r="D31" s="152" t="s">
        <v>679</v>
      </c>
      <c r="E31" s="153" t="s">
        <v>626</v>
      </c>
      <c r="F31" s="160" t="s">
        <v>1146</v>
      </c>
      <c r="G31" s="156" t="s">
        <v>627</v>
      </c>
      <c r="H31" s="152" t="s">
        <v>522</v>
      </c>
      <c r="I31" s="152" t="s">
        <v>45</v>
      </c>
      <c r="J31" s="155">
        <v>45566</v>
      </c>
      <c r="K31" s="155">
        <v>46660</v>
      </c>
      <c r="L31" s="139">
        <f t="shared" ca="1" si="0"/>
        <v>498</v>
      </c>
      <c r="M31" s="166">
        <v>45603</v>
      </c>
      <c r="N31" s="153" t="s">
        <v>628</v>
      </c>
      <c r="O31" s="154" t="s">
        <v>629</v>
      </c>
      <c r="P31" s="153" t="s">
        <v>105</v>
      </c>
      <c r="Q31" s="153"/>
      <c r="R31" s="154" t="s">
        <v>501</v>
      </c>
      <c r="S31" s="153" t="s">
        <v>371</v>
      </c>
      <c r="T31" s="153"/>
      <c r="U31" s="153"/>
      <c r="V31" s="153"/>
      <c r="W31" s="153"/>
      <c r="X31" s="153"/>
      <c r="Y31" s="153"/>
      <c r="Z31" s="153"/>
      <c r="AA31" s="153"/>
      <c r="AB31" s="153"/>
      <c r="AC31" s="153"/>
      <c r="AD31" s="153"/>
      <c r="AE31" s="158"/>
      <c r="AF31" s="158"/>
      <c r="AG31" s="158"/>
      <c r="AH31" s="158"/>
      <c r="AI31" s="159"/>
    </row>
    <row r="32" spans="1:35" ht="135" x14ac:dyDescent="0.25">
      <c r="A32" s="136"/>
      <c r="B32" s="164" t="s">
        <v>631</v>
      </c>
      <c r="C32" s="153" t="s">
        <v>197</v>
      </c>
      <c r="D32" s="152" t="s">
        <v>679</v>
      </c>
      <c r="E32" s="165" t="s">
        <v>630</v>
      </c>
      <c r="F32" s="160" t="s">
        <v>1157</v>
      </c>
      <c r="G32" s="153" t="s">
        <v>634</v>
      </c>
      <c r="H32" s="152" t="s">
        <v>522</v>
      </c>
      <c r="I32" s="152" t="s">
        <v>568</v>
      </c>
      <c r="J32" s="155">
        <v>45157</v>
      </c>
      <c r="K32" s="155">
        <v>46252</v>
      </c>
      <c r="L32" s="139">
        <f t="shared" ca="1" si="0"/>
        <v>90</v>
      </c>
      <c r="M32" s="155">
        <v>45157</v>
      </c>
      <c r="N32" s="154" t="s">
        <v>635</v>
      </c>
      <c r="O32" s="154" t="s">
        <v>636</v>
      </c>
      <c r="P32" s="153" t="s">
        <v>637</v>
      </c>
      <c r="Q32" s="153"/>
      <c r="R32" s="154" t="s">
        <v>606</v>
      </c>
      <c r="S32" s="153" t="s">
        <v>618</v>
      </c>
      <c r="T32" s="153"/>
      <c r="U32" s="153"/>
      <c r="V32" s="153"/>
      <c r="W32" s="153"/>
      <c r="X32" s="153"/>
      <c r="Y32" s="153"/>
      <c r="Z32" s="153"/>
      <c r="AA32" s="153"/>
      <c r="AB32" s="153"/>
      <c r="AC32" s="153"/>
      <c r="AD32" s="153"/>
      <c r="AE32" s="158"/>
      <c r="AF32" s="158"/>
      <c r="AG32" s="158"/>
      <c r="AH32" s="158"/>
      <c r="AI32" s="159"/>
    </row>
    <row r="33" spans="1:35" ht="135" x14ac:dyDescent="0.25">
      <c r="A33" s="136"/>
      <c r="B33" s="164" t="s">
        <v>639</v>
      </c>
      <c r="C33" s="153" t="s">
        <v>197</v>
      </c>
      <c r="D33" s="152" t="s">
        <v>679</v>
      </c>
      <c r="E33" s="153" t="s">
        <v>638</v>
      </c>
      <c r="F33" s="160" t="s">
        <v>1158</v>
      </c>
      <c r="G33" s="153" t="s">
        <v>640</v>
      </c>
      <c r="H33" s="152" t="s">
        <v>522</v>
      </c>
      <c r="I33" s="152" t="s">
        <v>44</v>
      </c>
      <c r="J33" s="155">
        <v>45231</v>
      </c>
      <c r="K33" s="155">
        <v>46326</v>
      </c>
      <c r="L33" s="139">
        <f t="shared" ca="1" si="0"/>
        <v>164</v>
      </c>
      <c r="M33" s="155">
        <v>45218</v>
      </c>
      <c r="N33" s="154" t="s">
        <v>635</v>
      </c>
      <c r="O33" s="154" t="s">
        <v>636</v>
      </c>
      <c r="P33" s="153" t="s">
        <v>641</v>
      </c>
      <c r="Q33" s="153"/>
      <c r="R33" s="154" t="s">
        <v>606</v>
      </c>
      <c r="S33" s="153" t="s">
        <v>618</v>
      </c>
      <c r="T33" s="153"/>
      <c r="U33" s="153"/>
      <c r="V33" s="153"/>
      <c r="W33" s="153"/>
      <c r="X33" s="153"/>
      <c r="Y33" s="153"/>
      <c r="Z33" s="153"/>
      <c r="AA33" s="153"/>
      <c r="AB33" s="153"/>
      <c r="AC33" s="153"/>
      <c r="AD33" s="153"/>
      <c r="AE33" s="158"/>
      <c r="AF33" s="158"/>
      <c r="AG33" s="158"/>
      <c r="AH33" s="158"/>
      <c r="AI33" s="159"/>
    </row>
    <row r="34" spans="1:35" ht="63" customHeight="1" x14ac:dyDescent="0.25">
      <c r="A34" s="136"/>
      <c r="B34" s="164" t="s">
        <v>643</v>
      </c>
      <c r="C34" s="153" t="s">
        <v>197</v>
      </c>
      <c r="D34" s="152" t="s">
        <v>679</v>
      </c>
      <c r="E34" s="153" t="s">
        <v>642</v>
      </c>
      <c r="F34" s="160" t="s">
        <v>1159</v>
      </c>
      <c r="G34" s="154" t="s">
        <v>567</v>
      </c>
      <c r="H34" s="152" t="s">
        <v>522</v>
      </c>
      <c r="I34" s="152" t="s">
        <v>568</v>
      </c>
      <c r="J34" s="155">
        <v>45432</v>
      </c>
      <c r="K34" s="155">
        <v>46526</v>
      </c>
      <c r="L34" s="139">
        <f t="shared" ca="1" si="0"/>
        <v>364</v>
      </c>
      <c r="M34" s="155">
        <v>45437</v>
      </c>
      <c r="N34" s="154" t="s">
        <v>644</v>
      </c>
      <c r="O34" s="154" t="s">
        <v>569</v>
      </c>
      <c r="P34" s="153" t="s">
        <v>570</v>
      </c>
      <c r="Q34" s="153"/>
      <c r="R34" s="154" t="s">
        <v>647</v>
      </c>
      <c r="S34" s="153">
        <v>1</v>
      </c>
      <c r="T34" s="153"/>
      <c r="U34" s="153"/>
      <c r="V34" s="153" t="s">
        <v>642</v>
      </c>
      <c r="W34" s="153" t="s">
        <v>866</v>
      </c>
      <c r="X34" s="153" t="s">
        <v>867</v>
      </c>
      <c r="Y34" s="153" t="s">
        <v>845</v>
      </c>
      <c r="Z34" s="157">
        <v>45432</v>
      </c>
      <c r="AA34" s="157">
        <v>45432</v>
      </c>
      <c r="AB34" s="157">
        <v>46527</v>
      </c>
      <c r="AC34" s="153" t="s">
        <v>868</v>
      </c>
      <c r="AD34" s="153" t="s">
        <v>856</v>
      </c>
      <c r="AE34" s="158"/>
      <c r="AF34" s="158"/>
      <c r="AG34" s="158"/>
      <c r="AH34" s="158"/>
      <c r="AI34" s="159"/>
    </row>
    <row r="35" spans="1:35" ht="30" customHeight="1" x14ac:dyDescent="0.25">
      <c r="A35" s="136"/>
      <c r="B35" s="164" t="s">
        <v>643</v>
      </c>
      <c r="C35" s="153" t="s">
        <v>197</v>
      </c>
      <c r="D35" s="152" t="s">
        <v>679</v>
      </c>
      <c r="E35" s="160" t="s">
        <v>575</v>
      </c>
      <c r="F35" s="160" t="s">
        <v>1160</v>
      </c>
      <c r="G35" s="153" t="s">
        <v>576</v>
      </c>
      <c r="H35" s="152" t="s">
        <v>522</v>
      </c>
      <c r="I35" s="152" t="s">
        <v>568</v>
      </c>
      <c r="J35" s="155">
        <v>45432</v>
      </c>
      <c r="K35" s="155">
        <v>46526</v>
      </c>
      <c r="L35" s="139">
        <f t="shared" ca="1" si="0"/>
        <v>364</v>
      </c>
      <c r="M35" s="155">
        <v>45437</v>
      </c>
      <c r="N35" s="154" t="s">
        <v>644</v>
      </c>
      <c r="O35" s="154" t="s">
        <v>569</v>
      </c>
      <c r="P35" s="153" t="s">
        <v>570</v>
      </c>
      <c r="Q35" s="153"/>
      <c r="R35" s="154" t="s">
        <v>501</v>
      </c>
      <c r="S35" s="153" t="s">
        <v>618</v>
      </c>
      <c r="T35" s="153"/>
      <c r="U35" s="153"/>
      <c r="V35" s="153"/>
      <c r="W35" s="153"/>
      <c r="X35" s="153"/>
      <c r="Y35" s="153"/>
      <c r="Z35" s="153"/>
      <c r="AA35" s="153"/>
      <c r="AB35" s="153"/>
      <c r="AC35" s="153"/>
      <c r="AD35" s="153"/>
      <c r="AE35" s="158"/>
      <c r="AF35" s="158"/>
      <c r="AG35" s="158"/>
      <c r="AH35" s="158"/>
      <c r="AI35" s="159"/>
    </row>
    <row r="36" spans="1:35" ht="45" customHeight="1" x14ac:dyDescent="0.25">
      <c r="A36" s="136"/>
      <c r="B36" s="164" t="s">
        <v>643</v>
      </c>
      <c r="C36" s="153" t="s">
        <v>197</v>
      </c>
      <c r="D36" s="152" t="s">
        <v>679</v>
      </c>
      <c r="E36" s="153" t="s">
        <v>645</v>
      </c>
      <c r="F36" s="160" t="s">
        <v>1161</v>
      </c>
      <c r="G36" s="153" t="s">
        <v>646</v>
      </c>
      <c r="H36" s="152" t="s">
        <v>522</v>
      </c>
      <c r="I36" s="152" t="s">
        <v>568</v>
      </c>
      <c r="J36" s="155">
        <v>45432</v>
      </c>
      <c r="K36" s="155">
        <v>46526</v>
      </c>
      <c r="L36" s="139">
        <f t="shared" ca="1" si="0"/>
        <v>364</v>
      </c>
      <c r="M36" s="155">
        <v>45483</v>
      </c>
      <c r="N36" s="154" t="s">
        <v>644</v>
      </c>
      <c r="O36" s="154" t="s">
        <v>569</v>
      </c>
      <c r="P36" s="153" t="s">
        <v>570</v>
      </c>
      <c r="Q36" s="153"/>
      <c r="R36" s="154" t="s">
        <v>501</v>
      </c>
      <c r="S36" s="153" t="s">
        <v>618</v>
      </c>
      <c r="T36" s="153"/>
      <c r="U36" s="153"/>
      <c r="V36" s="153"/>
      <c r="W36" s="153"/>
      <c r="X36" s="153"/>
      <c r="Y36" s="153"/>
      <c r="Z36" s="153"/>
      <c r="AA36" s="153"/>
      <c r="AB36" s="153"/>
      <c r="AC36" s="153"/>
      <c r="AD36" s="153"/>
      <c r="AE36" s="158"/>
      <c r="AF36" s="158"/>
      <c r="AG36" s="158"/>
      <c r="AH36" s="158"/>
      <c r="AI36" s="159"/>
    </row>
    <row r="37" spans="1:35" ht="57" customHeight="1" x14ac:dyDescent="0.25">
      <c r="A37" s="136"/>
      <c r="B37" s="164" t="s">
        <v>648</v>
      </c>
      <c r="C37" s="153" t="s">
        <v>197</v>
      </c>
      <c r="D37" s="152" t="s">
        <v>679</v>
      </c>
      <c r="E37" s="153" t="s">
        <v>571</v>
      </c>
      <c r="F37" s="160" t="s">
        <v>1162</v>
      </c>
      <c r="G37" s="154" t="s">
        <v>649</v>
      </c>
      <c r="H37" s="152" t="s">
        <v>522</v>
      </c>
      <c r="I37" s="152" t="s">
        <v>219</v>
      </c>
      <c r="J37" s="155">
        <v>45043</v>
      </c>
      <c r="K37" s="155">
        <v>46138</v>
      </c>
      <c r="L37" s="139">
        <f t="shared" ca="1" si="0"/>
        <v>-24</v>
      </c>
      <c r="M37" s="155">
        <v>45043</v>
      </c>
      <c r="N37" s="153" t="s">
        <v>572</v>
      </c>
      <c r="O37" s="154" t="s">
        <v>573</v>
      </c>
      <c r="P37" s="153" t="s">
        <v>574</v>
      </c>
      <c r="Q37" s="153"/>
      <c r="R37" s="154" t="s">
        <v>501</v>
      </c>
      <c r="S37" s="153" t="s">
        <v>618</v>
      </c>
      <c r="T37" s="153"/>
      <c r="U37" s="153"/>
      <c r="V37" s="153" t="s">
        <v>574</v>
      </c>
      <c r="W37" s="154" t="s">
        <v>649</v>
      </c>
      <c r="X37" s="153" t="s">
        <v>873</v>
      </c>
      <c r="Y37" s="153" t="s">
        <v>845</v>
      </c>
      <c r="Z37" s="157">
        <v>45043</v>
      </c>
      <c r="AA37" s="157">
        <v>45043</v>
      </c>
      <c r="AB37" s="157">
        <v>46139</v>
      </c>
      <c r="AC37" s="153" t="s">
        <v>874</v>
      </c>
      <c r="AD37" s="153" t="s">
        <v>875</v>
      </c>
      <c r="AE37" s="158"/>
      <c r="AF37" s="158"/>
      <c r="AG37" s="158"/>
      <c r="AH37" s="158"/>
      <c r="AI37" s="159"/>
    </row>
    <row r="38" spans="1:35" ht="159" customHeight="1" x14ac:dyDescent="0.25">
      <c r="A38" s="136"/>
      <c r="B38" s="164">
        <v>2316</v>
      </c>
      <c r="C38" s="153" t="s">
        <v>197</v>
      </c>
      <c r="D38" s="152" t="s">
        <v>679</v>
      </c>
      <c r="E38" s="165" t="s">
        <v>605</v>
      </c>
      <c r="F38" s="160" t="s">
        <v>1139</v>
      </c>
      <c r="G38" s="154" t="s">
        <v>604</v>
      </c>
      <c r="H38" s="152" t="s">
        <v>522</v>
      </c>
      <c r="I38" s="152" t="s">
        <v>124</v>
      </c>
      <c r="J38" s="155">
        <v>45667</v>
      </c>
      <c r="K38" s="155">
        <v>46066</v>
      </c>
      <c r="L38" s="139">
        <f t="shared" ca="1" si="0"/>
        <v>-96</v>
      </c>
      <c r="M38" s="155">
        <v>45702</v>
      </c>
      <c r="N38" s="154" t="s">
        <v>654</v>
      </c>
      <c r="O38" s="153"/>
      <c r="P38" s="153" t="s">
        <v>605</v>
      </c>
      <c r="Q38" s="153"/>
      <c r="R38" s="154" t="s">
        <v>655</v>
      </c>
      <c r="S38" s="153" t="s">
        <v>618</v>
      </c>
      <c r="T38" s="153"/>
      <c r="U38" s="153"/>
      <c r="V38" s="153"/>
      <c r="W38" s="153"/>
      <c r="X38" s="153"/>
      <c r="Y38" s="153"/>
      <c r="Z38" s="153"/>
      <c r="AA38" s="153"/>
      <c r="AB38" s="153"/>
      <c r="AC38" s="153"/>
      <c r="AD38" s="153"/>
      <c r="AE38" s="158"/>
      <c r="AF38" s="158"/>
      <c r="AG38" s="158"/>
      <c r="AH38" s="158"/>
      <c r="AI38" s="159"/>
    </row>
    <row r="39" spans="1:35" ht="30" x14ac:dyDescent="0.2">
      <c r="A39" s="136"/>
      <c r="B39" s="152"/>
      <c r="C39" s="153" t="s">
        <v>197</v>
      </c>
      <c r="D39" s="153" t="s">
        <v>661</v>
      </c>
      <c r="E39" s="165" t="s">
        <v>659</v>
      </c>
      <c r="F39" s="160" t="s">
        <v>1164</v>
      </c>
      <c r="G39" s="153" t="s">
        <v>666</v>
      </c>
      <c r="H39" s="152" t="s">
        <v>522</v>
      </c>
      <c r="I39" s="152" t="s">
        <v>668</v>
      </c>
      <c r="J39" s="155">
        <v>45824</v>
      </c>
      <c r="K39" s="155">
        <v>46538</v>
      </c>
      <c r="L39" s="139">
        <f t="shared" ref="L39:L86" ca="1" si="1">K39-TODAY()</f>
        <v>376</v>
      </c>
      <c r="M39" s="155">
        <v>45809</v>
      </c>
      <c r="N39" s="154" t="s">
        <v>665</v>
      </c>
      <c r="O39" s="154"/>
      <c r="P39" s="165" t="s">
        <v>659</v>
      </c>
      <c r="Q39" s="153"/>
      <c r="R39" s="154" t="s">
        <v>501</v>
      </c>
      <c r="S39" s="153" t="s">
        <v>371</v>
      </c>
      <c r="T39" s="153"/>
      <c r="U39" s="153"/>
      <c r="V39" s="165" t="s">
        <v>659</v>
      </c>
      <c r="W39" s="153" t="s">
        <v>666</v>
      </c>
      <c r="X39" s="153" t="s">
        <v>1041</v>
      </c>
      <c r="Y39" s="153" t="s">
        <v>899</v>
      </c>
      <c r="Z39" s="155">
        <v>45824</v>
      </c>
      <c r="AA39" s="157">
        <v>45809</v>
      </c>
      <c r="AB39" s="157">
        <v>46538</v>
      </c>
      <c r="AC39" s="153" t="s">
        <v>900</v>
      </c>
      <c r="AD39" s="153" t="s">
        <v>856</v>
      </c>
      <c r="AE39" s="158"/>
      <c r="AF39" s="158"/>
      <c r="AG39" s="158"/>
      <c r="AH39" s="158"/>
      <c r="AI39" s="159"/>
    </row>
    <row r="40" spans="1:35" ht="15" x14ac:dyDescent="0.2">
      <c r="A40" s="136"/>
      <c r="B40" s="152"/>
      <c r="C40" s="153" t="s">
        <v>197</v>
      </c>
      <c r="D40" s="152" t="s">
        <v>663</v>
      </c>
      <c r="E40" s="165" t="s">
        <v>656</v>
      </c>
      <c r="F40" s="160" t="s">
        <v>656</v>
      </c>
      <c r="G40" s="153" t="s">
        <v>747</v>
      </c>
      <c r="H40" s="152" t="s">
        <v>522</v>
      </c>
      <c r="I40" s="152" t="s">
        <v>668</v>
      </c>
      <c r="J40" s="157">
        <v>45824</v>
      </c>
      <c r="K40" s="157">
        <v>46904</v>
      </c>
      <c r="L40" s="139">
        <f t="shared" ca="1" si="1"/>
        <v>742</v>
      </c>
      <c r="M40" s="157">
        <v>45824</v>
      </c>
      <c r="N40" s="153"/>
      <c r="O40" s="153"/>
      <c r="P40" s="153" t="s">
        <v>656</v>
      </c>
      <c r="Q40" s="153"/>
      <c r="R40" s="154" t="s">
        <v>501</v>
      </c>
      <c r="S40" s="153" t="s">
        <v>371</v>
      </c>
      <c r="T40" s="153"/>
      <c r="U40" s="153"/>
      <c r="V40" s="165" t="s">
        <v>656</v>
      </c>
      <c r="W40" s="153" t="s">
        <v>747</v>
      </c>
      <c r="X40" s="153" t="s">
        <v>1010</v>
      </c>
      <c r="Y40" s="153" t="s">
        <v>968</v>
      </c>
      <c r="Z40" s="157">
        <v>45824</v>
      </c>
      <c r="AA40" s="157">
        <v>45824</v>
      </c>
      <c r="AB40" s="157">
        <v>46904</v>
      </c>
      <c r="AC40" s="153" t="s">
        <v>1011</v>
      </c>
      <c r="AD40" s="153" t="s">
        <v>875</v>
      </c>
      <c r="AE40" s="158"/>
      <c r="AF40" s="158"/>
      <c r="AG40" s="158"/>
      <c r="AH40" s="158"/>
      <c r="AI40" s="159"/>
    </row>
    <row r="41" spans="1:35" ht="15" x14ac:dyDescent="0.2">
      <c r="A41" s="136"/>
      <c r="B41" s="152"/>
      <c r="C41" s="153" t="s">
        <v>197</v>
      </c>
      <c r="D41" s="152" t="s">
        <v>663</v>
      </c>
      <c r="E41" s="165" t="s">
        <v>966</v>
      </c>
      <c r="F41" s="160" t="s">
        <v>1163</v>
      </c>
      <c r="G41" s="153" t="s">
        <v>746</v>
      </c>
      <c r="H41" s="152" t="s">
        <v>522</v>
      </c>
      <c r="I41" s="152" t="s">
        <v>668</v>
      </c>
      <c r="J41" s="157">
        <v>45824</v>
      </c>
      <c r="K41" s="157">
        <v>46843</v>
      </c>
      <c r="L41" s="139">
        <f t="shared" ca="1" si="1"/>
        <v>681</v>
      </c>
      <c r="M41" s="157">
        <v>45748</v>
      </c>
      <c r="N41" s="153"/>
      <c r="O41" s="153"/>
      <c r="P41" s="153" t="s">
        <v>657</v>
      </c>
      <c r="Q41" s="153"/>
      <c r="R41" s="154" t="s">
        <v>501</v>
      </c>
      <c r="S41" s="153" t="s">
        <v>371</v>
      </c>
      <c r="T41" s="153"/>
      <c r="U41" s="153"/>
      <c r="V41" s="165" t="s">
        <v>966</v>
      </c>
      <c r="W41" s="153" t="s">
        <v>746</v>
      </c>
      <c r="X41" s="153" t="s">
        <v>967</v>
      </c>
      <c r="Y41" s="153" t="s">
        <v>968</v>
      </c>
      <c r="Z41" s="157">
        <v>45824</v>
      </c>
      <c r="AA41" s="157">
        <v>45748</v>
      </c>
      <c r="AB41" s="157">
        <v>46843</v>
      </c>
      <c r="AC41" s="153" t="s">
        <v>969</v>
      </c>
      <c r="AD41" s="153" t="s">
        <v>856</v>
      </c>
      <c r="AE41" s="158"/>
      <c r="AF41" s="158"/>
      <c r="AG41" s="158"/>
      <c r="AH41" s="158"/>
      <c r="AI41" s="159"/>
    </row>
    <row r="42" spans="1:35" ht="15" x14ac:dyDescent="0.2">
      <c r="A42" s="136"/>
      <c r="B42" s="152"/>
      <c r="C42" s="153" t="s">
        <v>197</v>
      </c>
      <c r="D42" s="152" t="s">
        <v>663</v>
      </c>
      <c r="E42" s="165" t="s">
        <v>658</v>
      </c>
      <c r="F42" s="160" t="s">
        <v>1165</v>
      </c>
      <c r="G42" s="153" t="s">
        <v>748</v>
      </c>
      <c r="H42" s="152" t="s">
        <v>522</v>
      </c>
      <c r="I42" s="152" t="s">
        <v>668</v>
      </c>
      <c r="J42" s="155">
        <v>45491</v>
      </c>
      <c r="K42" s="155">
        <v>46112</v>
      </c>
      <c r="L42" s="139">
        <f t="shared" ca="1" si="1"/>
        <v>-50</v>
      </c>
      <c r="M42" s="155">
        <v>45370</v>
      </c>
      <c r="N42" s="153"/>
      <c r="O42" s="153"/>
      <c r="P42" s="153" t="s">
        <v>658</v>
      </c>
      <c r="Q42" s="153"/>
      <c r="R42" s="154" t="s">
        <v>501</v>
      </c>
      <c r="S42" s="153" t="s">
        <v>371</v>
      </c>
      <c r="T42" s="153"/>
      <c r="U42" s="153"/>
      <c r="V42" s="165" t="s">
        <v>658</v>
      </c>
      <c r="W42" s="153" t="s">
        <v>748</v>
      </c>
      <c r="X42" s="153" t="s">
        <v>1014</v>
      </c>
      <c r="Y42" s="153" t="s">
        <v>1015</v>
      </c>
      <c r="Z42" s="155">
        <v>45491</v>
      </c>
      <c r="AA42" s="155">
        <v>45370</v>
      </c>
      <c r="AB42" s="155">
        <v>46112</v>
      </c>
      <c r="AC42" s="153" t="s">
        <v>1016</v>
      </c>
      <c r="AD42" s="153" t="s">
        <v>852</v>
      </c>
      <c r="AE42" s="158"/>
      <c r="AF42" s="158"/>
      <c r="AG42" s="158"/>
      <c r="AH42" s="158"/>
      <c r="AI42" s="159"/>
    </row>
    <row r="43" spans="1:35" ht="15" x14ac:dyDescent="0.2">
      <c r="A43" s="136"/>
      <c r="B43" s="152"/>
      <c r="C43" s="153" t="s">
        <v>197</v>
      </c>
      <c r="D43" s="152" t="s">
        <v>669</v>
      </c>
      <c r="E43" s="165" t="s">
        <v>670</v>
      </c>
      <c r="F43" s="160" t="s">
        <v>1166</v>
      </c>
      <c r="G43" s="153" t="s">
        <v>734</v>
      </c>
      <c r="H43" s="152" t="s">
        <v>522</v>
      </c>
      <c r="I43" s="152" t="s">
        <v>508</v>
      </c>
      <c r="J43" s="155">
        <v>45758</v>
      </c>
      <c r="K43" s="155">
        <v>46843</v>
      </c>
      <c r="L43" s="139">
        <f t="shared" ca="1" si="1"/>
        <v>681</v>
      </c>
      <c r="M43" s="155">
        <v>45748</v>
      </c>
      <c r="N43" s="153"/>
      <c r="O43" s="153"/>
      <c r="P43" s="165" t="s">
        <v>670</v>
      </c>
      <c r="Q43" s="153"/>
      <c r="R43" s="154" t="s">
        <v>733</v>
      </c>
      <c r="S43" s="153" t="s">
        <v>371</v>
      </c>
      <c r="T43" s="153"/>
      <c r="U43" s="153"/>
      <c r="V43" s="165" t="s">
        <v>670</v>
      </c>
      <c r="W43" s="153" t="s">
        <v>734</v>
      </c>
      <c r="X43" s="153" t="s">
        <v>928</v>
      </c>
      <c r="Y43" s="153" t="s">
        <v>877</v>
      </c>
      <c r="Z43" s="155">
        <v>45758</v>
      </c>
      <c r="AA43" s="157">
        <v>45748</v>
      </c>
      <c r="AB43" s="157">
        <v>46843</v>
      </c>
      <c r="AC43" s="153" t="s">
        <v>929</v>
      </c>
      <c r="AD43" s="153" t="s">
        <v>852</v>
      </c>
      <c r="AE43" s="158"/>
      <c r="AF43" s="158"/>
      <c r="AG43" s="158"/>
      <c r="AH43" s="158"/>
      <c r="AI43" s="159"/>
    </row>
    <row r="44" spans="1:35" ht="30" x14ac:dyDescent="0.2">
      <c r="A44" s="136"/>
      <c r="B44" s="152"/>
      <c r="C44" s="153" t="s">
        <v>197</v>
      </c>
      <c r="D44" s="152" t="s">
        <v>669</v>
      </c>
      <c r="E44" s="165" t="s">
        <v>671</v>
      </c>
      <c r="F44" s="160" t="s">
        <v>671</v>
      </c>
      <c r="G44" s="153" t="s">
        <v>737</v>
      </c>
      <c r="H44" s="152" t="s">
        <v>522</v>
      </c>
      <c r="I44" s="152" t="s">
        <v>508</v>
      </c>
      <c r="J44" s="155">
        <v>45791</v>
      </c>
      <c r="K44" s="155">
        <v>46843</v>
      </c>
      <c r="L44" s="139">
        <f t="shared" ca="1" si="1"/>
        <v>681</v>
      </c>
      <c r="M44" s="155">
        <v>45748</v>
      </c>
      <c r="N44" s="153"/>
      <c r="O44" s="153"/>
      <c r="P44" s="165" t="s">
        <v>937</v>
      </c>
      <c r="Q44" s="153"/>
      <c r="R44" s="154" t="s">
        <v>697</v>
      </c>
      <c r="S44" s="153" t="s">
        <v>371</v>
      </c>
      <c r="T44" s="153"/>
      <c r="U44" s="153"/>
      <c r="V44" s="165" t="s">
        <v>671</v>
      </c>
      <c r="W44" s="153" t="s">
        <v>737</v>
      </c>
      <c r="X44" s="153" t="s">
        <v>938</v>
      </c>
      <c r="Y44" s="153" t="s">
        <v>877</v>
      </c>
      <c r="Z44" s="155">
        <v>45791</v>
      </c>
      <c r="AA44" s="157">
        <v>45748</v>
      </c>
      <c r="AB44" s="157">
        <v>46843</v>
      </c>
      <c r="AC44" s="153" t="s">
        <v>939</v>
      </c>
      <c r="AD44" s="153" t="s">
        <v>852</v>
      </c>
      <c r="AE44" s="158"/>
      <c r="AF44" s="158"/>
      <c r="AG44" s="158"/>
      <c r="AH44" s="158"/>
      <c r="AI44" s="159"/>
    </row>
    <row r="45" spans="1:35" ht="15" x14ac:dyDescent="0.2">
      <c r="A45" s="136"/>
      <c r="B45" s="152"/>
      <c r="C45" s="153" t="s">
        <v>197</v>
      </c>
      <c r="D45" s="152" t="s">
        <v>669</v>
      </c>
      <c r="E45" s="165" t="s">
        <v>932</v>
      </c>
      <c r="F45" s="160" t="s">
        <v>1167</v>
      </c>
      <c r="G45" s="153" t="s">
        <v>739</v>
      </c>
      <c r="H45" s="152" t="s">
        <v>522</v>
      </c>
      <c r="I45" s="152" t="s">
        <v>508</v>
      </c>
      <c r="J45" s="155">
        <v>45791</v>
      </c>
      <c r="K45" s="155">
        <v>46843</v>
      </c>
      <c r="L45" s="139">
        <f t="shared" ca="1" si="1"/>
        <v>681</v>
      </c>
      <c r="M45" s="155">
        <v>45748</v>
      </c>
      <c r="N45" s="153"/>
      <c r="O45" s="153"/>
      <c r="P45" s="165" t="s">
        <v>932</v>
      </c>
      <c r="Q45" s="153"/>
      <c r="R45" s="154" t="s">
        <v>733</v>
      </c>
      <c r="S45" s="153" t="s">
        <v>371</v>
      </c>
      <c r="T45" s="153"/>
      <c r="U45" s="153"/>
      <c r="V45" s="165" t="s">
        <v>932</v>
      </c>
      <c r="W45" s="153" t="s">
        <v>739</v>
      </c>
      <c r="X45" s="153" t="s">
        <v>933</v>
      </c>
      <c r="Y45" s="153" t="s">
        <v>877</v>
      </c>
      <c r="Z45" s="155">
        <v>45791</v>
      </c>
      <c r="AA45" s="157">
        <v>45748</v>
      </c>
      <c r="AB45" s="157">
        <v>46843</v>
      </c>
      <c r="AC45" s="153" t="s">
        <v>934</v>
      </c>
      <c r="AD45" s="153" t="s">
        <v>856</v>
      </c>
      <c r="AE45" s="158"/>
      <c r="AF45" s="158"/>
      <c r="AG45" s="158"/>
      <c r="AH45" s="158"/>
      <c r="AI45" s="159"/>
    </row>
    <row r="46" spans="1:35" ht="15" x14ac:dyDescent="0.2">
      <c r="A46" s="136"/>
      <c r="B46" s="152"/>
      <c r="C46" s="153" t="s">
        <v>197</v>
      </c>
      <c r="D46" s="152" t="s">
        <v>669</v>
      </c>
      <c r="E46" s="165" t="s">
        <v>798</v>
      </c>
      <c r="F46" s="160" t="s">
        <v>1147</v>
      </c>
      <c r="G46" s="153" t="s">
        <v>799</v>
      </c>
      <c r="H46" s="152" t="s">
        <v>522</v>
      </c>
      <c r="I46" s="152" t="s">
        <v>508</v>
      </c>
      <c r="J46" s="155">
        <v>45748</v>
      </c>
      <c r="K46" s="155">
        <v>46843</v>
      </c>
      <c r="L46" s="139">
        <f t="shared" ca="1" si="1"/>
        <v>681</v>
      </c>
      <c r="M46" s="155">
        <v>45748</v>
      </c>
      <c r="N46" s="153"/>
      <c r="O46" s="153"/>
      <c r="P46" s="165" t="s">
        <v>798</v>
      </c>
      <c r="Q46" s="153"/>
      <c r="R46" s="154" t="s">
        <v>501</v>
      </c>
      <c r="S46" s="153" t="s">
        <v>371</v>
      </c>
      <c r="T46" s="153"/>
      <c r="U46" s="153"/>
      <c r="V46" s="165" t="s">
        <v>798</v>
      </c>
      <c r="W46" s="153" t="s">
        <v>799</v>
      </c>
      <c r="X46" s="153" t="s">
        <v>978</v>
      </c>
      <c r="Y46" s="153" t="s">
        <v>877</v>
      </c>
      <c r="Z46" s="155">
        <v>45748</v>
      </c>
      <c r="AA46" s="155">
        <v>45748</v>
      </c>
      <c r="AB46" s="155">
        <v>46843</v>
      </c>
      <c r="AC46" s="153" t="s">
        <v>979</v>
      </c>
      <c r="AD46" s="153" t="s">
        <v>856</v>
      </c>
      <c r="AE46" s="158"/>
      <c r="AF46" s="158"/>
      <c r="AG46" s="158"/>
      <c r="AH46" s="158"/>
      <c r="AI46" s="159"/>
    </row>
    <row r="47" spans="1:35" ht="15" x14ac:dyDescent="0.2">
      <c r="A47" s="136"/>
      <c r="B47" s="152"/>
      <c r="C47" s="153" t="s">
        <v>197</v>
      </c>
      <c r="D47" s="152" t="s">
        <v>669</v>
      </c>
      <c r="E47" s="165" t="s">
        <v>672</v>
      </c>
      <c r="F47" s="160" t="s">
        <v>1168</v>
      </c>
      <c r="G47" s="153" t="s">
        <v>731</v>
      </c>
      <c r="H47" s="152" t="s">
        <v>522</v>
      </c>
      <c r="I47" s="152" t="s">
        <v>508</v>
      </c>
      <c r="J47" s="155">
        <v>45761</v>
      </c>
      <c r="K47" s="155">
        <v>46843</v>
      </c>
      <c r="L47" s="139">
        <f t="shared" ca="1" si="1"/>
        <v>681</v>
      </c>
      <c r="M47" s="155">
        <v>45748</v>
      </c>
      <c r="N47" s="153"/>
      <c r="O47" s="153"/>
      <c r="P47" s="165" t="s">
        <v>672</v>
      </c>
      <c r="Q47" s="153"/>
      <c r="R47" s="154" t="s">
        <v>733</v>
      </c>
      <c r="S47" s="153" t="s">
        <v>371</v>
      </c>
      <c r="T47" s="153"/>
      <c r="U47" s="153"/>
      <c r="V47" s="165" t="s">
        <v>672</v>
      </c>
      <c r="W47" s="153" t="s">
        <v>731</v>
      </c>
      <c r="X47" s="153" t="s">
        <v>926</v>
      </c>
      <c r="Y47" s="153" t="s">
        <v>877</v>
      </c>
      <c r="Z47" s="155">
        <v>45761</v>
      </c>
      <c r="AA47" s="155">
        <v>45748</v>
      </c>
      <c r="AB47" s="157">
        <v>46843</v>
      </c>
      <c r="AC47" s="153" t="s">
        <v>927</v>
      </c>
      <c r="AD47" s="153" t="s">
        <v>856</v>
      </c>
      <c r="AE47" s="158"/>
      <c r="AF47" s="158"/>
      <c r="AG47" s="158"/>
      <c r="AH47" s="158"/>
      <c r="AI47" s="159"/>
    </row>
    <row r="48" spans="1:35" ht="30" x14ac:dyDescent="0.2">
      <c r="A48" s="136"/>
      <c r="B48" s="152"/>
      <c r="C48" s="153" t="s">
        <v>197</v>
      </c>
      <c r="D48" s="152" t="s">
        <v>669</v>
      </c>
      <c r="E48" s="165" t="s">
        <v>935</v>
      </c>
      <c r="F48" s="160" t="s">
        <v>1169</v>
      </c>
      <c r="G48" s="153" t="s">
        <v>736</v>
      </c>
      <c r="H48" s="152" t="s">
        <v>522</v>
      </c>
      <c r="I48" s="152" t="s">
        <v>508</v>
      </c>
      <c r="J48" s="155">
        <v>45791</v>
      </c>
      <c r="K48" s="155">
        <v>46843</v>
      </c>
      <c r="L48" s="139">
        <f t="shared" ca="1" si="1"/>
        <v>681</v>
      </c>
      <c r="M48" s="155">
        <v>45748</v>
      </c>
      <c r="N48" s="153"/>
      <c r="O48" s="153"/>
      <c r="P48" s="165" t="s">
        <v>935</v>
      </c>
      <c r="Q48" s="153"/>
      <c r="R48" s="154" t="s">
        <v>697</v>
      </c>
      <c r="S48" s="153" t="s">
        <v>371</v>
      </c>
      <c r="T48" s="153"/>
      <c r="U48" s="153"/>
      <c r="V48" s="165" t="s">
        <v>935</v>
      </c>
      <c r="W48" s="153" t="s">
        <v>736</v>
      </c>
      <c r="X48" s="153" t="s">
        <v>936</v>
      </c>
      <c r="Y48" s="153" t="s">
        <v>877</v>
      </c>
      <c r="Z48" s="155">
        <v>45791</v>
      </c>
      <c r="AA48" s="157">
        <v>45748</v>
      </c>
      <c r="AB48" s="157">
        <v>46843</v>
      </c>
      <c r="AC48" s="165" t="s">
        <v>935</v>
      </c>
      <c r="AD48" s="153" t="s">
        <v>852</v>
      </c>
      <c r="AE48" s="158"/>
      <c r="AF48" s="158"/>
      <c r="AG48" s="158"/>
      <c r="AH48" s="158"/>
      <c r="AI48" s="159"/>
    </row>
    <row r="49" spans="1:35" ht="15" x14ac:dyDescent="0.2">
      <c r="A49" s="136"/>
      <c r="B49" s="152"/>
      <c r="C49" s="153" t="s">
        <v>197</v>
      </c>
      <c r="D49" s="152" t="s">
        <v>669</v>
      </c>
      <c r="E49" s="165" t="s">
        <v>673</v>
      </c>
      <c r="F49" s="160" t="s">
        <v>1148</v>
      </c>
      <c r="G49" s="153" t="s">
        <v>732</v>
      </c>
      <c r="H49" s="152" t="s">
        <v>522</v>
      </c>
      <c r="I49" s="152" t="s">
        <v>508</v>
      </c>
      <c r="J49" s="155">
        <v>45791</v>
      </c>
      <c r="K49" s="155">
        <v>46843</v>
      </c>
      <c r="L49" s="139">
        <f t="shared" ca="1" si="1"/>
        <v>681</v>
      </c>
      <c r="M49" s="155">
        <v>45748</v>
      </c>
      <c r="N49" s="153"/>
      <c r="O49" s="153"/>
      <c r="P49" s="165" t="s">
        <v>673</v>
      </c>
      <c r="Q49" s="153"/>
      <c r="R49" s="154" t="s">
        <v>733</v>
      </c>
      <c r="S49" s="153" t="s">
        <v>371</v>
      </c>
      <c r="T49" s="153"/>
      <c r="U49" s="153"/>
      <c r="V49" s="153"/>
      <c r="W49" s="153"/>
      <c r="X49" s="153"/>
      <c r="Y49" s="153"/>
      <c r="Z49" s="153"/>
      <c r="AA49" s="153"/>
      <c r="AB49" s="153"/>
      <c r="AC49" s="153"/>
      <c r="AD49" s="153"/>
      <c r="AE49" s="158"/>
      <c r="AF49" s="158"/>
      <c r="AG49" s="158"/>
      <c r="AH49" s="158"/>
      <c r="AI49" s="159"/>
    </row>
    <row r="50" spans="1:35" ht="30" x14ac:dyDescent="0.2">
      <c r="A50" s="136"/>
      <c r="B50" s="152"/>
      <c r="C50" s="153" t="s">
        <v>197</v>
      </c>
      <c r="D50" s="152" t="s">
        <v>669</v>
      </c>
      <c r="E50" s="165" t="s">
        <v>940</v>
      </c>
      <c r="F50" s="160" t="s">
        <v>674</v>
      </c>
      <c r="G50" s="153" t="s">
        <v>735</v>
      </c>
      <c r="H50" s="152" t="s">
        <v>522</v>
      </c>
      <c r="I50" s="152" t="s">
        <v>508</v>
      </c>
      <c r="J50" s="155">
        <v>45748</v>
      </c>
      <c r="K50" s="155">
        <v>46843</v>
      </c>
      <c r="L50" s="139">
        <f t="shared" ca="1" si="1"/>
        <v>681</v>
      </c>
      <c r="M50" s="155">
        <v>45748</v>
      </c>
      <c r="N50" s="153"/>
      <c r="O50" s="153"/>
      <c r="P50" s="165" t="s">
        <v>674</v>
      </c>
      <c r="Q50" s="153"/>
      <c r="R50" s="154" t="s">
        <v>697</v>
      </c>
      <c r="S50" s="153" t="s">
        <v>371</v>
      </c>
      <c r="T50" s="153"/>
      <c r="U50" s="153"/>
      <c r="V50" s="165" t="s">
        <v>940</v>
      </c>
      <c r="W50" s="153" t="s">
        <v>735</v>
      </c>
      <c r="X50" s="153" t="s">
        <v>941</v>
      </c>
      <c r="Y50" s="153" t="s">
        <v>877</v>
      </c>
      <c r="Z50" s="155">
        <v>45748</v>
      </c>
      <c r="AA50" s="155">
        <v>45748</v>
      </c>
      <c r="AB50" s="157">
        <v>46843</v>
      </c>
      <c r="AC50" s="153" t="s">
        <v>942</v>
      </c>
      <c r="AD50" s="153" t="s">
        <v>852</v>
      </c>
      <c r="AE50" s="158"/>
      <c r="AF50" s="158"/>
      <c r="AG50" s="158"/>
      <c r="AH50" s="158"/>
      <c r="AI50" s="159"/>
    </row>
    <row r="51" spans="1:35" ht="15" x14ac:dyDescent="0.2">
      <c r="A51" s="136"/>
      <c r="B51" s="152"/>
      <c r="C51" s="153" t="s">
        <v>197</v>
      </c>
      <c r="D51" s="152" t="s">
        <v>669</v>
      </c>
      <c r="E51" s="165" t="s">
        <v>675</v>
      </c>
      <c r="F51" s="160" t="s">
        <v>1170</v>
      </c>
      <c r="G51" s="153" t="s">
        <v>738</v>
      </c>
      <c r="H51" s="152" t="s">
        <v>522</v>
      </c>
      <c r="I51" s="152" t="s">
        <v>508</v>
      </c>
      <c r="J51" s="157">
        <v>45758</v>
      </c>
      <c r="K51" s="157">
        <v>46843</v>
      </c>
      <c r="L51" s="139">
        <f t="shared" ca="1" si="1"/>
        <v>681</v>
      </c>
      <c r="M51" s="157">
        <v>45748</v>
      </c>
      <c r="N51" s="153"/>
      <c r="O51" s="153"/>
      <c r="P51" s="165" t="s">
        <v>675</v>
      </c>
      <c r="Q51" s="153"/>
      <c r="R51" s="154" t="s">
        <v>501</v>
      </c>
      <c r="S51" s="153" t="s">
        <v>371</v>
      </c>
      <c r="T51" s="153"/>
      <c r="U51" s="153"/>
      <c r="V51" s="165" t="s">
        <v>675</v>
      </c>
      <c r="W51" s="153" t="s">
        <v>738</v>
      </c>
      <c r="X51" s="153" t="s">
        <v>1062</v>
      </c>
      <c r="Y51" s="153" t="s">
        <v>877</v>
      </c>
      <c r="Z51" s="157">
        <v>45758</v>
      </c>
      <c r="AA51" s="157">
        <v>45748</v>
      </c>
      <c r="AB51" s="157">
        <v>46843</v>
      </c>
      <c r="AC51" s="153"/>
      <c r="AD51" s="153" t="s">
        <v>852</v>
      </c>
      <c r="AE51" s="158"/>
      <c r="AF51" s="158"/>
      <c r="AG51" s="158"/>
      <c r="AH51" s="158"/>
      <c r="AI51" s="159"/>
    </row>
    <row r="52" spans="1:35" ht="15" x14ac:dyDescent="0.2">
      <c r="A52" s="136"/>
      <c r="B52" s="152"/>
      <c r="C52" s="153" t="s">
        <v>197</v>
      </c>
      <c r="D52" s="152" t="s">
        <v>669</v>
      </c>
      <c r="E52" s="165" t="s">
        <v>676</v>
      </c>
      <c r="F52" s="160" t="s">
        <v>1171</v>
      </c>
      <c r="G52" s="153"/>
      <c r="H52" s="152" t="s">
        <v>522</v>
      </c>
      <c r="I52" s="152" t="s">
        <v>508</v>
      </c>
      <c r="J52" s="155">
        <v>45526</v>
      </c>
      <c r="K52" s="155">
        <v>46255</v>
      </c>
      <c r="L52" s="139">
        <f t="shared" ca="1" si="1"/>
        <v>93</v>
      </c>
      <c r="M52" s="155">
        <v>45526</v>
      </c>
      <c r="N52" s="153"/>
      <c r="O52" s="153"/>
      <c r="P52" s="153"/>
      <c r="Q52" s="153"/>
      <c r="R52" s="154" t="s">
        <v>1055</v>
      </c>
      <c r="S52" s="153" t="s">
        <v>690</v>
      </c>
      <c r="T52" s="153"/>
      <c r="U52" s="153"/>
      <c r="V52" s="153"/>
      <c r="W52" s="153"/>
      <c r="X52" s="153"/>
      <c r="Y52" s="153"/>
      <c r="Z52" s="153"/>
      <c r="AA52" s="153"/>
      <c r="AB52" s="153"/>
      <c r="AC52" s="153"/>
      <c r="AD52" s="153"/>
      <c r="AE52" s="158"/>
      <c r="AF52" s="158"/>
      <c r="AG52" s="158"/>
      <c r="AH52" s="158"/>
      <c r="AI52" s="159"/>
    </row>
    <row r="53" spans="1:35" ht="15" x14ac:dyDescent="0.2">
      <c r="A53" s="136"/>
      <c r="B53" s="152"/>
      <c r="C53" s="153" t="s">
        <v>197</v>
      </c>
      <c r="D53" s="152" t="s">
        <v>669</v>
      </c>
      <c r="E53" s="153" t="s">
        <v>696</v>
      </c>
      <c r="F53" s="160" t="s">
        <v>1172</v>
      </c>
      <c r="G53" s="153" t="s">
        <v>797</v>
      </c>
      <c r="H53" s="152" t="s">
        <v>522</v>
      </c>
      <c r="I53" s="152" t="s">
        <v>508</v>
      </c>
      <c r="J53" s="155">
        <v>45748</v>
      </c>
      <c r="K53" s="155">
        <v>46843</v>
      </c>
      <c r="L53" s="139">
        <f t="shared" ca="1" si="1"/>
        <v>681</v>
      </c>
      <c r="M53" s="155">
        <v>45748</v>
      </c>
      <c r="N53" s="153"/>
      <c r="O53" s="153"/>
      <c r="P53" s="153" t="s">
        <v>696</v>
      </c>
      <c r="Q53" s="153"/>
      <c r="R53" s="154" t="s">
        <v>501</v>
      </c>
      <c r="S53" s="153" t="s">
        <v>371</v>
      </c>
      <c r="T53" s="153"/>
      <c r="U53" s="153"/>
      <c r="V53" s="153" t="s">
        <v>696</v>
      </c>
      <c r="W53" s="153" t="s">
        <v>797</v>
      </c>
      <c r="X53" s="153" t="s">
        <v>977</v>
      </c>
      <c r="Y53" s="153" t="s">
        <v>877</v>
      </c>
      <c r="Z53" s="155">
        <v>45748</v>
      </c>
      <c r="AA53" s="155">
        <v>45748</v>
      </c>
      <c r="AB53" s="155">
        <v>46843</v>
      </c>
      <c r="AC53" s="153"/>
      <c r="AD53" s="153"/>
      <c r="AE53" s="158"/>
      <c r="AF53" s="158"/>
      <c r="AG53" s="158"/>
      <c r="AH53" s="158"/>
      <c r="AI53" s="159"/>
    </row>
    <row r="54" spans="1:35" ht="15" x14ac:dyDescent="0.2">
      <c r="A54" s="136"/>
      <c r="B54" s="152"/>
      <c r="C54" s="153" t="s">
        <v>197</v>
      </c>
      <c r="D54" s="152" t="s">
        <v>669</v>
      </c>
      <c r="E54" s="153" t="s">
        <v>677</v>
      </c>
      <c r="F54" s="160" t="s">
        <v>1051</v>
      </c>
      <c r="G54" s="153" t="s">
        <v>738</v>
      </c>
      <c r="H54" s="152" t="s">
        <v>522</v>
      </c>
      <c r="I54" s="152" t="s">
        <v>508</v>
      </c>
      <c r="J54" s="155">
        <v>45758</v>
      </c>
      <c r="K54" s="155">
        <v>46843</v>
      </c>
      <c r="L54" s="139">
        <f t="shared" ca="1" si="1"/>
        <v>681</v>
      </c>
      <c r="M54" s="155">
        <v>45748</v>
      </c>
      <c r="N54" s="153"/>
      <c r="O54" s="153"/>
      <c r="P54" s="153" t="s">
        <v>677</v>
      </c>
      <c r="Q54" s="153"/>
      <c r="R54" s="154" t="s">
        <v>501</v>
      </c>
      <c r="S54" s="153" t="s">
        <v>371</v>
      </c>
      <c r="T54" s="153"/>
      <c r="U54" s="153"/>
      <c r="V54" s="153" t="s">
        <v>677</v>
      </c>
      <c r="W54" s="153" t="s">
        <v>738</v>
      </c>
      <c r="X54" s="153" t="s">
        <v>930</v>
      </c>
      <c r="Y54" s="153" t="s">
        <v>877</v>
      </c>
      <c r="Z54" s="155">
        <v>45758</v>
      </c>
      <c r="AA54" s="155">
        <v>45748</v>
      </c>
      <c r="AB54" s="155">
        <v>46843</v>
      </c>
      <c r="AC54" s="153" t="s">
        <v>931</v>
      </c>
      <c r="AD54" s="153" t="s">
        <v>852</v>
      </c>
      <c r="AE54" s="158"/>
      <c r="AF54" s="158"/>
      <c r="AG54" s="158"/>
      <c r="AH54" s="158"/>
      <c r="AI54" s="159"/>
    </row>
    <row r="55" spans="1:35" ht="15" x14ac:dyDescent="0.2">
      <c r="A55" s="136"/>
      <c r="B55" s="152"/>
      <c r="C55" s="153" t="s">
        <v>197</v>
      </c>
      <c r="D55" s="152" t="s">
        <v>679</v>
      </c>
      <c r="E55" s="165" t="s">
        <v>678</v>
      </c>
      <c r="F55" s="160" t="s">
        <v>678</v>
      </c>
      <c r="G55" s="153" t="s">
        <v>729</v>
      </c>
      <c r="H55" s="152" t="s">
        <v>522</v>
      </c>
      <c r="I55" s="152" t="s">
        <v>508</v>
      </c>
      <c r="J55" s="157">
        <v>45809</v>
      </c>
      <c r="K55" s="155">
        <v>46477</v>
      </c>
      <c r="L55" s="139">
        <f t="shared" ca="1" si="1"/>
        <v>315</v>
      </c>
      <c r="M55" s="157">
        <v>45809</v>
      </c>
      <c r="N55" s="153"/>
      <c r="O55" s="153"/>
      <c r="P55" s="165" t="s">
        <v>678</v>
      </c>
      <c r="Q55" s="153"/>
      <c r="R55" s="154" t="s">
        <v>501</v>
      </c>
      <c r="S55" s="153" t="s">
        <v>371</v>
      </c>
      <c r="T55" s="153"/>
      <c r="U55" s="153"/>
      <c r="V55" s="165" t="s">
        <v>678</v>
      </c>
      <c r="W55" s="153" t="s">
        <v>729</v>
      </c>
      <c r="X55" s="153" t="s">
        <v>1063</v>
      </c>
      <c r="Y55" s="153" t="s">
        <v>919</v>
      </c>
      <c r="Z55" s="157">
        <v>45809</v>
      </c>
      <c r="AA55" s="157">
        <v>45809</v>
      </c>
      <c r="AB55" s="157">
        <v>46477</v>
      </c>
      <c r="AC55" s="153" t="s">
        <v>1064</v>
      </c>
      <c r="AD55" s="153" t="s">
        <v>992</v>
      </c>
      <c r="AE55" s="158"/>
      <c r="AF55" s="158"/>
      <c r="AG55" s="158"/>
      <c r="AH55" s="158"/>
      <c r="AI55" s="159"/>
    </row>
    <row r="56" spans="1:35" ht="15" x14ac:dyDescent="0.2">
      <c r="A56" s="136"/>
      <c r="B56" s="152"/>
      <c r="C56" s="153" t="s">
        <v>197</v>
      </c>
      <c r="D56" s="152" t="s">
        <v>679</v>
      </c>
      <c r="E56" s="165" t="s">
        <v>680</v>
      </c>
      <c r="F56" s="160" t="s">
        <v>680</v>
      </c>
      <c r="G56" s="153" t="s">
        <v>1052</v>
      </c>
      <c r="H56" s="152" t="s">
        <v>522</v>
      </c>
      <c r="I56" s="152" t="s">
        <v>508</v>
      </c>
      <c r="J56" s="157">
        <v>45911</v>
      </c>
      <c r="K56" s="157">
        <v>46173</v>
      </c>
      <c r="L56" s="139">
        <f t="shared" ca="1" si="1"/>
        <v>11</v>
      </c>
      <c r="M56" s="157">
        <v>45809</v>
      </c>
      <c r="N56" s="153"/>
      <c r="O56" s="153"/>
      <c r="P56" s="165" t="s">
        <v>680</v>
      </c>
      <c r="Q56" s="153"/>
      <c r="R56" s="154" t="s">
        <v>501</v>
      </c>
      <c r="S56" s="153">
        <v>6</v>
      </c>
      <c r="T56" s="153"/>
      <c r="U56" s="153"/>
      <c r="V56" s="165" t="s">
        <v>680</v>
      </c>
      <c r="W56" s="153" t="s">
        <v>1052</v>
      </c>
      <c r="X56" s="153" t="s">
        <v>1065</v>
      </c>
      <c r="Y56" s="153" t="s">
        <v>845</v>
      </c>
      <c r="Z56" s="157">
        <v>45911</v>
      </c>
      <c r="AA56" s="157">
        <v>45809</v>
      </c>
      <c r="AB56" s="157">
        <v>46173</v>
      </c>
      <c r="AC56" s="153" t="s">
        <v>1066</v>
      </c>
      <c r="AD56" s="153" t="s">
        <v>856</v>
      </c>
      <c r="AE56" s="158"/>
      <c r="AF56" s="158"/>
      <c r="AG56" s="158"/>
      <c r="AH56" s="158"/>
      <c r="AI56" s="159"/>
    </row>
    <row r="57" spans="1:35" ht="30" x14ac:dyDescent="0.2">
      <c r="A57" s="136"/>
      <c r="B57" s="152"/>
      <c r="C57" s="153" t="s">
        <v>197</v>
      </c>
      <c r="D57" s="153"/>
      <c r="E57" s="165" t="s">
        <v>681</v>
      </c>
      <c r="F57" s="160" t="s">
        <v>1173</v>
      </c>
      <c r="G57" s="153" t="s">
        <v>1067</v>
      </c>
      <c r="H57" s="152" t="s">
        <v>522</v>
      </c>
      <c r="I57" s="152" t="s">
        <v>508</v>
      </c>
      <c r="J57" s="153"/>
      <c r="K57" s="155">
        <v>46433</v>
      </c>
      <c r="L57" s="139">
        <f t="shared" ca="1" si="1"/>
        <v>271</v>
      </c>
      <c r="M57" s="153"/>
      <c r="N57" s="153"/>
      <c r="O57" s="153"/>
      <c r="P57" s="153"/>
      <c r="Q57" s="153"/>
      <c r="R57" s="154" t="s">
        <v>1227</v>
      </c>
      <c r="S57" s="153"/>
      <c r="T57" s="153"/>
      <c r="U57" s="153"/>
      <c r="V57" s="153"/>
      <c r="W57" s="153"/>
      <c r="X57" s="153"/>
      <c r="Y57" s="153"/>
      <c r="Z57" s="153"/>
      <c r="AA57" s="153"/>
      <c r="AB57" s="153"/>
      <c r="AC57" s="153"/>
      <c r="AD57" s="153"/>
      <c r="AE57" s="158"/>
      <c r="AF57" s="158"/>
      <c r="AG57" s="158"/>
      <c r="AH57" s="158"/>
      <c r="AI57" s="159"/>
    </row>
    <row r="58" spans="1:35" ht="15" x14ac:dyDescent="0.2">
      <c r="A58" s="137"/>
      <c r="B58" s="138"/>
      <c r="C58" s="140" t="s">
        <v>197</v>
      </c>
      <c r="D58" s="140" t="s">
        <v>664</v>
      </c>
      <c r="E58" s="141" t="s">
        <v>682</v>
      </c>
      <c r="F58" s="143" t="s">
        <v>682</v>
      </c>
      <c r="G58" s="140"/>
      <c r="H58" s="138" t="s">
        <v>522</v>
      </c>
      <c r="I58" s="138" t="s">
        <v>508</v>
      </c>
      <c r="J58" s="140"/>
      <c r="K58" s="144">
        <v>46265</v>
      </c>
      <c r="L58" s="139">
        <f t="shared" ca="1" si="1"/>
        <v>103</v>
      </c>
      <c r="M58" s="140"/>
      <c r="N58" s="140"/>
      <c r="O58" s="140"/>
      <c r="P58" s="140"/>
      <c r="Q58" s="140"/>
      <c r="R58" s="145" t="s">
        <v>1228</v>
      </c>
      <c r="S58" s="140"/>
      <c r="T58" s="140"/>
      <c r="U58" s="140"/>
      <c r="V58" s="140"/>
      <c r="W58" s="140"/>
      <c r="X58" s="140"/>
      <c r="Y58" s="140"/>
      <c r="Z58" s="140"/>
      <c r="AA58" s="140"/>
      <c r="AB58" s="140"/>
      <c r="AC58" s="140"/>
      <c r="AD58" s="140"/>
      <c r="AI58" s="133"/>
    </row>
    <row r="59" spans="1:35" ht="30" x14ac:dyDescent="0.2">
      <c r="A59" s="137"/>
      <c r="B59" s="152"/>
      <c r="C59" s="153" t="s">
        <v>197</v>
      </c>
      <c r="D59" s="153" t="s">
        <v>683</v>
      </c>
      <c r="E59" s="165" t="s">
        <v>1068</v>
      </c>
      <c r="F59" s="160" t="s">
        <v>1174</v>
      </c>
      <c r="G59" s="153" t="s">
        <v>1069</v>
      </c>
      <c r="H59" s="152" t="s">
        <v>522</v>
      </c>
      <c r="I59" s="152" t="s">
        <v>508</v>
      </c>
      <c r="J59" s="157">
        <v>45824</v>
      </c>
      <c r="K59" s="157">
        <v>46843</v>
      </c>
      <c r="L59" s="139">
        <f t="shared" ca="1" si="1"/>
        <v>681</v>
      </c>
      <c r="M59" s="157">
        <v>45748</v>
      </c>
      <c r="N59" s="153"/>
      <c r="O59" s="153"/>
      <c r="P59" s="153"/>
      <c r="Q59" s="153"/>
      <c r="R59" s="154" t="s">
        <v>1229</v>
      </c>
      <c r="S59" s="153"/>
      <c r="T59" s="153"/>
      <c r="U59" s="153"/>
      <c r="V59" s="165" t="s">
        <v>1068</v>
      </c>
      <c r="W59" s="153" t="s">
        <v>1069</v>
      </c>
      <c r="X59" s="153" t="s">
        <v>1070</v>
      </c>
      <c r="Y59" s="153" t="s">
        <v>1022</v>
      </c>
      <c r="Z59" s="157">
        <v>45824</v>
      </c>
      <c r="AA59" s="157">
        <v>45748</v>
      </c>
      <c r="AB59" s="157">
        <v>46843</v>
      </c>
      <c r="AC59" s="153" t="s">
        <v>1071</v>
      </c>
      <c r="AD59" s="153" t="s">
        <v>1072</v>
      </c>
      <c r="AE59" s="158"/>
      <c r="AF59" s="158"/>
      <c r="AG59" s="158"/>
      <c r="AH59" s="158"/>
      <c r="AI59" s="159"/>
    </row>
    <row r="60" spans="1:35" ht="15" x14ac:dyDescent="0.2">
      <c r="A60" s="137"/>
      <c r="B60" s="152"/>
      <c r="C60" s="153" t="s">
        <v>197</v>
      </c>
      <c r="D60" s="153" t="s">
        <v>686</v>
      </c>
      <c r="E60" s="165" t="s">
        <v>685</v>
      </c>
      <c r="F60" s="160" t="s">
        <v>1175</v>
      </c>
      <c r="G60" s="153" t="s">
        <v>729</v>
      </c>
      <c r="H60" s="152" t="s">
        <v>522</v>
      </c>
      <c r="I60" s="152" t="s">
        <v>508</v>
      </c>
      <c r="J60" s="157">
        <v>45809</v>
      </c>
      <c r="K60" s="157">
        <v>46477</v>
      </c>
      <c r="L60" s="139">
        <f t="shared" ca="1" si="1"/>
        <v>315</v>
      </c>
      <c r="M60" s="157">
        <v>45809</v>
      </c>
      <c r="N60" s="153"/>
      <c r="O60" s="153"/>
      <c r="P60" s="165" t="s">
        <v>685</v>
      </c>
      <c r="Q60" s="153"/>
      <c r="R60" s="154" t="s">
        <v>501</v>
      </c>
      <c r="S60" s="153" t="s">
        <v>684</v>
      </c>
      <c r="T60" s="153"/>
      <c r="U60" s="153"/>
      <c r="V60" s="165" t="s">
        <v>685</v>
      </c>
      <c r="W60" s="153" t="s">
        <v>729</v>
      </c>
      <c r="X60" s="153" t="s">
        <v>921</v>
      </c>
      <c r="Y60" s="153" t="s">
        <v>919</v>
      </c>
      <c r="Z60" s="157">
        <v>45809</v>
      </c>
      <c r="AA60" s="157">
        <v>45809</v>
      </c>
      <c r="AB60" s="157">
        <v>46477</v>
      </c>
      <c r="AC60" s="153" t="s">
        <v>922</v>
      </c>
      <c r="AD60" s="153" t="s">
        <v>850</v>
      </c>
      <c r="AE60" s="158"/>
      <c r="AF60" s="158"/>
      <c r="AG60" s="158"/>
      <c r="AH60" s="158"/>
      <c r="AI60" s="159"/>
    </row>
    <row r="61" spans="1:35" ht="15" x14ac:dyDescent="0.2">
      <c r="A61" s="137"/>
      <c r="B61" s="152"/>
      <c r="C61" s="153" t="s">
        <v>197</v>
      </c>
      <c r="D61" s="153" t="s">
        <v>686</v>
      </c>
      <c r="E61" s="165" t="s">
        <v>687</v>
      </c>
      <c r="F61" s="160" t="s">
        <v>1176</v>
      </c>
      <c r="G61" s="153" t="s">
        <v>1073</v>
      </c>
      <c r="H61" s="152" t="s">
        <v>522</v>
      </c>
      <c r="I61" s="152" t="s">
        <v>508</v>
      </c>
      <c r="J61" s="157">
        <v>45809</v>
      </c>
      <c r="K61" s="157">
        <v>46477</v>
      </c>
      <c r="L61" s="139">
        <f t="shared" ca="1" si="1"/>
        <v>315</v>
      </c>
      <c r="M61" s="157">
        <v>45809</v>
      </c>
      <c r="N61" s="153"/>
      <c r="O61" s="153"/>
      <c r="P61" s="165" t="s">
        <v>687</v>
      </c>
      <c r="Q61" s="153"/>
      <c r="R61" s="154" t="s">
        <v>501</v>
      </c>
      <c r="S61" s="153"/>
      <c r="T61" s="153"/>
      <c r="U61" s="153"/>
      <c r="V61" s="165" t="s">
        <v>687</v>
      </c>
      <c r="W61" s="153" t="s">
        <v>1073</v>
      </c>
      <c r="X61" s="153" t="s">
        <v>1074</v>
      </c>
      <c r="Y61" s="153" t="s">
        <v>919</v>
      </c>
      <c r="Z61" s="157">
        <v>45809</v>
      </c>
      <c r="AA61" s="157">
        <v>45809</v>
      </c>
      <c r="AB61" s="157">
        <v>46477</v>
      </c>
      <c r="AC61" s="153" t="s">
        <v>1075</v>
      </c>
      <c r="AD61" s="153" t="s">
        <v>852</v>
      </c>
      <c r="AE61" s="158"/>
      <c r="AF61" s="158"/>
      <c r="AG61" s="158"/>
      <c r="AH61" s="158"/>
      <c r="AI61" s="159"/>
    </row>
    <row r="62" spans="1:35" ht="15" x14ac:dyDescent="0.2">
      <c r="A62" s="137"/>
      <c r="B62" s="152"/>
      <c r="C62" s="153" t="s">
        <v>197</v>
      </c>
      <c r="D62" s="153" t="s">
        <v>686</v>
      </c>
      <c r="E62" s="165" t="s">
        <v>688</v>
      </c>
      <c r="F62" s="160" t="s">
        <v>1177</v>
      </c>
      <c r="G62" s="153" t="s">
        <v>730</v>
      </c>
      <c r="H62" s="152" t="s">
        <v>522</v>
      </c>
      <c r="I62" s="152" t="s">
        <v>508</v>
      </c>
      <c r="J62" s="155">
        <v>45809</v>
      </c>
      <c r="K62" s="155">
        <v>46477</v>
      </c>
      <c r="L62" s="139">
        <f t="shared" ca="1" si="1"/>
        <v>315</v>
      </c>
      <c r="M62" s="155">
        <v>45809</v>
      </c>
      <c r="N62" s="153"/>
      <c r="O62" s="153"/>
      <c r="P62" s="165" t="s">
        <v>688</v>
      </c>
      <c r="Q62" s="153"/>
      <c r="R62" s="154" t="s">
        <v>501</v>
      </c>
      <c r="S62" s="153" t="s">
        <v>371</v>
      </c>
      <c r="T62" s="153"/>
      <c r="U62" s="153"/>
      <c r="V62" s="165" t="s">
        <v>923</v>
      </c>
      <c r="W62" s="153" t="s">
        <v>730</v>
      </c>
      <c r="X62" s="153" t="s">
        <v>924</v>
      </c>
      <c r="Y62" s="153" t="s">
        <v>919</v>
      </c>
      <c r="Z62" s="155">
        <v>45809</v>
      </c>
      <c r="AA62" s="155">
        <v>45809</v>
      </c>
      <c r="AB62" s="157">
        <v>46477</v>
      </c>
      <c r="AC62" s="153" t="s">
        <v>925</v>
      </c>
      <c r="AD62" s="153" t="s">
        <v>852</v>
      </c>
      <c r="AE62" s="158"/>
      <c r="AF62" s="158"/>
      <c r="AG62" s="158"/>
      <c r="AH62" s="158"/>
      <c r="AI62" s="159"/>
    </row>
    <row r="63" spans="1:35" ht="15" x14ac:dyDescent="0.2">
      <c r="A63" s="137"/>
      <c r="B63" s="152"/>
      <c r="C63" s="153" t="s">
        <v>197</v>
      </c>
      <c r="D63" s="153" t="s">
        <v>686</v>
      </c>
      <c r="E63" s="165" t="s">
        <v>689</v>
      </c>
      <c r="F63" s="160" t="s">
        <v>1135</v>
      </c>
      <c r="G63" s="153" t="s">
        <v>728</v>
      </c>
      <c r="H63" s="152" t="s">
        <v>522</v>
      </c>
      <c r="I63" s="152" t="s">
        <v>508</v>
      </c>
      <c r="J63" s="155">
        <v>45809</v>
      </c>
      <c r="K63" s="155">
        <v>46477</v>
      </c>
      <c r="L63" s="139">
        <f t="shared" ca="1" si="1"/>
        <v>315</v>
      </c>
      <c r="M63" s="155">
        <v>45809</v>
      </c>
      <c r="N63" s="153"/>
      <c r="O63" s="153"/>
      <c r="P63" s="165" t="s">
        <v>689</v>
      </c>
      <c r="Q63" s="153"/>
      <c r="R63" s="154" t="s">
        <v>501</v>
      </c>
      <c r="S63" s="153" t="s">
        <v>371</v>
      </c>
      <c r="T63" s="153"/>
      <c r="U63" s="153"/>
      <c r="V63" s="165" t="s">
        <v>689</v>
      </c>
      <c r="W63" s="153" t="s">
        <v>728</v>
      </c>
      <c r="X63" s="153" t="s">
        <v>918</v>
      </c>
      <c r="Y63" s="153" t="s">
        <v>919</v>
      </c>
      <c r="Z63" s="157">
        <v>45809</v>
      </c>
      <c r="AA63" s="157">
        <v>45809</v>
      </c>
      <c r="AB63" s="157">
        <v>46477</v>
      </c>
      <c r="AC63" s="153" t="s">
        <v>920</v>
      </c>
      <c r="AD63" s="153" t="s">
        <v>875</v>
      </c>
      <c r="AE63" s="158"/>
      <c r="AF63" s="158"/>
      <c r="AG63" s="158"/>
      <c r="AH63" s="158"/>
      <c r="AI63" s="159"/>
    </row>
    <row r="64" spans="1:35" ht="15" x14ac:dyDescent="0.2">
      <c r="A64" s="137"/>
      <c r="B64" s="152"/>
      <c r="C64" s="153" t="s">
        <v>197</v>
      </c>
      <c r="D64" s="153" t="s">
        <v>664</v>
      </c>
      <c r="E64" s="165" t="s">
        <v>691</v>
      </c>
      <c r="F64" s="160" t="s">
        <v>1178</v>
      </c>
      <c r="G64" s="153" t="s">
        <v>725</v>
      </c>
      <c r="H64" s="152" t="s">
        <v>522</v>
      </c>
      <c r="I64" s="152" t="s">
        <v>508</v>
      </c>
      <c r="J64" s="155">
        <v>45824</v>
      </c>
      <c r="K64" s="155">
        <v>46173</v>
      </c>
      <c r="L64" s="139">
        <f t="shared" ca="1" si="1"/>
        <v>11</v>
      </c>
      <c r="M64" s="155">
        <v>45809</v>
      </c>
      <c r="N64" s="153"/>
      <c r="O64" s="153"/>
      <c r="P64" s="165" t="s">
        <v>691</v>
      </c>
      <c r="Q64" s="153"/>
      <c r="R64" s="154" t="s">
        <v>501</v>
      </c>
      <c r="S64" s="153" t="s">
        <v>371</v>
      </c>
      <c r="T64" s="153"/>
      <c r="U64" s="153"/>
      <c r="V64" s="165" t="s">
        <v>691</v>
      </c>
      <c r="W64" s="153" t="s">
        <v>725</v>
      </c>
      <c r="X64" s="153" t="s">
        <v>901</v>
      </c>
      <c r="Y64" s="153" t="s">
        <v>902</v>
      </c>
      <c r="Z64" s="155">
        <v>45824</v>
      </c>
      <c r="AA64" s="155">
        <v>45809</v>
      </c>
      <c r="AB64" s="155">
        <v>46173</v>
      </c>
      <c r="AC64" s="153" t="s">
        <v>903</v>
      </c>
      <c r="AD64" s="153" t="s">
        <v>852</v>
      </c>
      <c r="AE64" s="158"/>
      <c r="AF64" s="158"/>
      <c r="AG64" s="158"/>
      <c r="AH64" s="158"/>
      <c r="AI64" s="159"/>
    </row>
    <row r="65" spans="1:35" ht="15" x14ac:dyDescent="0.2">
      <c r="A65" s="137"/>
      <c r="B65" s="152"/>
      <c r="C65" s="153" t="s">
        <v>197</v>
      </c>
      <c r="D65" s="153" t="s">
        <v>662</v>
      </c>
      <c r="E65" s="165" t="s">
        <v>692</v>
      </c>
      <c r="F65" s="160" t="s">
        <v>692</v>
      </c>
      <c r="G65" s="153" t="s">
        <v>726</v>
      </c>
      <c r="H65" s="152" t="s">
        <v>522</v>
      </c>
      <c r="I65" s="152" t="s">
        <v>508</v>
      </c>
      <c r="J65" s="155">
        <v>45824</v>
      </c>
      <c r="K65" s="155">
        <v>46188</v>
      </c>
      <c r="L65" s="139">
        <f t="shared" ca="1" si="1"/>
        <v>26</v>
      </c>
      <c r="M65" s="155">
        <v>45824</v>
      </c>
      <c r="N65" s="153"/>
      <c r="O65" s="153"/>
      <c r="P65" s="165" t="s">
        <v>692</v>
      </c>
      <c r="Q65" s="153"/>
      <c r="R65" s="154" t="s">
        <v>501</v>
      </c>
      <c r="S65" s="153" t="s">
        <v>522</v>
      </c>
      <c r="T65" s="153"/>
      <c r="U65" s="153"/>
      <c r="V65" s="165" t="s">
        <v>908</v>
      </c>
      <c r="W65" s="153" t="s">
        <v>726</v>
      </c>
      <c r="X65" s="153" t="s">
        <v>909</v>
      </c>
      <c r="Y65" s="153" t="s">
        <v>845</v>
      </c>
      <c r="Z65" s="157">
        <v>45824</v>
      </c>
      <c r="AA65" s="157">
        <v>45824</v>
      </c>
      <c r="AB65" s="155">
        <v>46188</v>
      </c>
      <c r="AC65" s="153" t="s">
        <v>910</v>
      </c>
      <c r="AD65" s="153" t="s">
        <v>852</v>
      </c>
      <c r="AE65" s="158"/>
      <c r="AF65" s="158"/>
      <c r="AG65" s="158"/>
      <c r="AH65" s="158"/>
      <c r="AI65" s="159"/>
    </row>
    <row r="66" spans="1:35" ht="15" x14ac:dyDescent="0.2">
      <c r="A66" s="137"/>
      <c r="B66" s="152"/>
      <c r="C66" s="153" t="s">
        <v>197</v>
      </c>
      <c r="D66" s="152" t="s">
        <v>694</v>
      </c>
      <c r="E66" s="165" t="s">
        <v>945</v>
      </c>
      <c r="F66" s="160" t="s">
        <v>693</v>
      </c>
      <c r="G66" s="153" t="s">
        <v>742</v>
      </c>
      <c r="H66" s="152" t="s">
        <v>522</v>
      </c>
      <c r="I66" s="152" t="s">
        <v>695</v>
      </c>
      <c r="J66" s="155">
        <v>45809</v>
      </c>
      <c r="K66" s="155">
        <v>46139</v>
      </c>
      <c r="L66" s="139">
        <f t="shared" ca="1" si="1"/>
        <v>-23</v>
      </c>
      <c r="M66" s="155">
        <v>45775</v>
      </c>
      <c r="N66" s="153"/>
      <c r="O66" s="153"/>
      <c r="P66" s="165" t="s">
        <v>693</v>
      </c>
      <c r="Q66" s="153"/>
      <c r="R66" s="154" t="s">
        <v>501</v>
      </c>
      <c r="S66" s="153" t="s">
        <v>371</v>
      </c>
      <c r="T66" s="153"/>
      <c r="U66" s="153"/>
      <c r="V66" s="165" t="s">
        <v>945</v>
      </c>
      <c r="W66" s="153" t="s">
        <v>946</v>
      </c>
      <c r="X66" s="153" t="s">
        <v>947</v>
      </c>
      <c r="Y66" s="153" t="s">
        <v>877</v>
      </c>
      <c r="Z66" s="155">
        <v>45809</v>
      </c>
      <c r="AA66" s="157">
        <v>45775</v>
      </c>
      <c r="AB66" s="157">
        <v>46139</v>
      </c>
      <c r="AC66" s="153" t="s">
        <v>948</v>
      </c>
      <c r="AD66" s="153" t="s">
        <v>949</v>
      </c>
      <c r="AE66" s="158"/>
      <c r="AF66" s="158"/>
      <c r="AG66" s="158"/>
      <c r="AH66" s="158"/>
      <c r="AI66" s="159"/>
    </row>
    <row r="67" spans="1:35" ht="15" x14ac:dyDescent="0.2">
      <c r="A67" s="137"/>
      <c r="B67" s="152"/>
      <c r="C67" s="153" t="s">
        <v>197</v>
      </c>
      <c r="D67" s="152" t="s">
        <v>669</v>
      </c>
      <c r="E67" s="165" t="s">
        <v>698</v>
      </c>
      <c r="F67" s="160" t="s">
        <v>698</v>
      </c>
      <c r="G67" s="153" t="s">
        <v>1053</v>
      </c>
      <c r="H67" s="152" t="s">
        <v>522</v>
      </c>
      <c r="I67" s="152" t="s">
        <v>508</v>
      </c>
      <c r="J67" s="157">
        <v>45911</v>
      </c>
      <c r="K67" s="157">
        <v>46843</v>
      </c>
      <c r="L67" s="139">
        <f t="shared" ca="1" si="1"/>
        <v>681</v>
      </c>
      <c r="M67" s="157">
        <v>45748</v>
      </c>
      <c r="N67" s="153"/>
      <c r="O67" s="153"/>
      <c r="P67" s="165" t="s">
        <v>698</v>
      </c>
      <c r="Q67" s="153"/>
      <c r="R67" s="154" t="s">
        <v>501</v>
      </c>
      <c r="S67" s="153">
        <v>7</v>
      </c>
      <c r="T67" s="153"/>
      <c r="U67" s="153"/>
      <c r="V67" s="165" t="s">
        <v>698</v>
      </c>
      <c r="W67" s="153" t="s">
        <v>1053</v>
      </c>
      <c r="X67" s="153" t="s">
        <v>1076</v>
      </c>
      <c r="Y67" s="153" t="s">
        <v>877</v>
      </c>
      <c r="Z67" s="157">
        <v>45911</v>
      </c>
      <c r="AA67" s="157">
        <v>45748</v>
      </c>
      <c r="AB67" s="157">
        <v>46843</v>
      </c>
      <c r="AC67" s="153" t="s">
        <v>1077</v>
      </c>
      <c r="AD67" s="153" t="s">
        <v>852</v>
      </c>
      <c r="AE67" s="158"/>
      <c r="AF67" s="158"/>
      <c r="AG67" s="158"/>
      <c r="AH67" s="158"/>
      <c r="AI67" s="159"/>
    </row>
    <row r="68" spans="1:35" ht="15" x14ac:dyDescent="0.2">
      <c r="A68" s="137"/>
      <c r="B68" s="152"/>
      <c r="C68" s="153" t="s">
        <v>197</v>
      </c>
      <c r="D68" s="152" t="s">
        <v>669</v>
      </c>
      <c r="E68" s="165" t="s">
        <v>1078</v>
      </c>
      <c r="F68" s="160" t="s">
        <v>1078</v>
      </c>
      <c r="G68" s="153" t="s">
        <v>1079</v>
      </c>
      <c r="H68" s="152" t="s">
        <v>522</v>
      </c>
      <c r="I68" s="152" t="s">
        <v>508</v>
      </c>
      <c r="J68" s="157">
        <v>45824</v>
      </c>
      <c r="K68" s="157">
        <v>46843</v>
      </c>
      <c r="L68" s="139">
        <f t="shared" ca="1" si="1"/>
        <v>681</v>
      </c>
      <c r="M68" s="157">
        <v>45748</v>
      </c>
      <c r="N68" s="153"/>
      <c r="O68" s="153"/>
      <c r="P68" s="165" t="s">
        <v>1080</v>
      </c>
      <c r="Q68" s="153"/>
      <c r="R68" s="154" t="s">
        <v>501</v>
      </c>
      <c r="S68" s="153" t="s">
        <v>371</v>
      </c>
      <c r="T68" s="153"/>
      <c r="U68" s="153"/>
      <c r="V68" s="165" t="s">
        <v>1080</v>
      </c>
      <c r="W68" s="153" t="s">
        <v>1079</v>
      </c>
      <c r="X68" s="153" t="s">
        <v>1081</v>
      </c>
      <c r="Y68" s="153" t="s">
        <v>877</v>
      </c>
      <c r="Z68" s="157">
        <v>45824</v>
      </c>
      <c r="AA68" s="157">
        <v>45748</v>
      </c>
      <c r="AB68" s="157">
        <v>46843</v>
      </c>
      <c r="AC68" s="153" t="s">
        <v>1082</v>
      </c>
      <c r="AD68" s="153" t="s">
        <v>852</v>
      </c>
      <c r="AE68" s="158"/>
      <c r="AF68" s="158"/>
      <c r="AG68" s="158"/>
      <c r="AH68" s="158"/>
      <c r="AI68" s="159"/>
    </row>
    <row r="69" spans="1:35" ht="15" x14ac:dyDescent="0.2">
      <c r="A69" s="137"/>
      <c r="B69" s="152"/>
      <c r="C69" s="153" t="s">
        <v>197</v>
      </c>
      <c r="D69" s="153" t="s">
        <v>683</v>
      </c>
      <c r="E69" s="165" t="s">
        <v>699</v>
      </c>
      <c r="F69" s="160" t="s">
        <v>699</v>
      </c>
      <c r="G69" s="153" t="s">
        <v>754</v>
      </c>
      <c r="H69" s="152" t="s">
        <v>522</v>
      </c>
      <c r="I69" s="152" t="s">
        <v>508</v>
      </c>
      <c r="J69" s="157">
        <v>45748</v>
      </c>
      <c r="K69" s="157">
        <v>46843</v>
      </c>
      <c r="L69" s="139">
        <f t="shared" ca="1" si="1"/>
        <v>681</v>
      </c>
      <c r="M69" s="157">
        <v>45748</v>
      </c>
      <c r="N69" s="153"/>
      <c r="O69" s="153"/>
      <c r="P69" s="165" t="s">
        <v>699</v>
      </c>
      <c r="Q69" s="153"/>
      <c r="R69" s="154" t="s">
        <v>501</v>
      </c>
      <c r="S69" s="153" t="s">
        <v>371</v>
      </c>
      <c r="T69" s="153"/>
      <c r="U69" s="153"/>
      <c r="V69" s="165" t="s">
        <v>699</v>
      </c>
      <c r="W69" s="153" t="s">
        <v>754</v>
      </c>
      <c r="X69" s="153" t="s">
        <v>1021</v>
      </c>
      <c r="Y69" s="153" t="s">
        <v>1022</v>
      </c>
      <c r="Z69" s="157">
        <v>45748</v>
      </c>
      <c r="AA69" s="157">
        <v>45748</v>
      </c>
      <c r="AB69" s="157">
        <v>46843</v>
      </c>
      <c r="AC69" s="153" t="s">
        <v>1023</v>
      </c>
      <c r="AD69" s="152" t="s">
        <v>1024</v>
      </c>
      <c r="AE69" s="158"/>
      <c r="AF69" s="158"/>
      <c r="AG69" s="158"/>
      <c r="AH69" s="158"/>
      <c r="AI69" s="159"/>
    </row>
    <row r="70" spans="1:35" ht="15" x14ac:dyDescent="0.2">
      <c r="A70" s="137"/>
      <c r="B70" s="152"/>
      <c r="C70" s="153" t="s">
        <v>197</v>
      </c>
      <c r="D70" s="153" t="s">
        <v>683</v>
      </c>
      <c r="E70" s="165" t="s">
        <v>758</v>
      </c>
      <c r="F70" s="160" t="s">
        <v>1179</v>
      </c>
      <c r="G70" s="153" t="s">
        <v>757</v>
      </c>
      <c r="H70" s="152" t="s">
        <v>522</v>
      </c>
      <c r="I70" s="152" t="s">
        <v>508</v>
      </c>
      <c r="J70" s="157">
        <v>45748</v>
      </c>
      <c r="K70" s="157">
        <v>46843</v>
      </c>
      <c r="L70" s="139">
        <f t="shared" ca="1" si="1"/>
        <v>681</v>
      </c>
      <c r="M70" s="157">
        <v>45748</v>
      </c>
      <c r="N70" s="153"/>
      <c r="O70" s="153"/>
      <c r="P70" s="165" t="s">
        <v>758</v>
      </c>
      <c r="Q70" s="153"/>
      <c r="R70" s="154" t="s">
        <v>733</v>
      </c>
      <c r="S70" s="153" t="s">
        <v>684</v>
      </c>
      <c r="T70" s="153"/>
      <c r="U70" s="153"/>
      <c r="V70" s="165" t="s">
        <v>758</v>
      </c>
      <c r="W70" s="153" t="s">
        <v>757</v>
      </c>
      <c r="X70" s="153" t="s">
        <v>1028</v>
      </c>
      <c r="Y70" s="153" t="s">
        <v>1022</v>
      </c>
      <c r="Z70" s="157">
        <v>45748</v>
      </c>
      <c r="AA70" s="157">
        <v>45748</v>
      </c>
      <c r="AB70" s="157">
        <v>46843</v>
      </c>
      <c r="AC70" s="153" t="s">
        <v>1029</v>
      </c>
      <c r="AD70" s="153" t="s">
        <v>1030</v>
      </c>
      <c r="AE70" s="158"/>
      <c r="AF70" s="158"/>
      <c r="AG70" s="158"/>
      <c r="AH70" s="158"/>
      <c r="AI70" s="159"/>
    </row>
    <row r="71" spans="1:35" ht="15" x14ac:dyDescent="0.2">
      <c r="A71" s="137"/>
      <c r="B71" s="152"/>
      <c r="C71" s="153" t="s">
        <v>197</v>
      </c>
      <c r="D71" s="153" t="s">
        <v>664</v>
      </c>
      <c r="E71" s="153" t="s">
        <v>745</v>
      </c>
      <c r="F71" s="153"/>
      <c r="G71" s="153" t="s">
        <v>1044</v>
      </c>
      <c r="H71" s="152" t="s">
        <v>522</v>
      </c>
      <c r="I71" s="152" t="s">
        <v>508</v>
      </c>
      <c r="J71" s="157">
        <v>45443</v>
      </c>
      <c r="K71" s="157">
        <v>46112</v>
      </c>
      <c r="L71" s="139">
        <f t="shared" ca="1" si="1"/>
        <v>-50</v>
      </c>
      <c r="M71" s="157">
        <v>45383</v>
      </c>
      <c r="N71" s="153"/>
      <c r="O71" s="153"/>
      <c r="P71" s="153" t="s">
        <v>745</v>
      </c>
      <c r="Q71" s="153"/>
      <c r="R71" s="153" t="s">
        <v>501</v>
      </c>
      <c r="S71" s="153">
        <v>8</v>
      </c>
      <c r="T71" s="153"/>
      <c r="U71" s="153"/>
      <c r="V71" s="153" t="s">
        <v>745</v>
      </c>
      <c r="W71" s="153" t="s">
        <v>1044</v>
      </c>
      <c r="X71" s="153" t="s">
        <v>1045</v>
      </c>
      <c r="Y71" s="153" t="s">
        <v>1046</v>
      </c>
      <c r="Z71" s="157">
        <v>45443</v>
      </c>
      <c r="AA71" s="157">
        <v>45383</v>
      </c>
      <c r="AB71" s="157">
        <v>46112</v>
      </c>
      <c r="AC71" s="153" t="s">
        <v>1047</v>
      </c>
      <c r="AD71" s="153" t="s">
        <v>852</v>
      </c>
      <c r="AE71" s="158"/>
      <c r="AF71" s="158"/>
      <c r="AG71" s="158"/>
      <c r="AH71" s="158"/>
      <c r="AI71" s="159"/>
    </row>
    <row r="72" spans="1:35" ht="15" x14ac:dyDescent="0.2">
      <c r="A72" s="137"/>
      <c r="B72" s="152"/>
      <c r="C72" s="153" t="s">
        <v>197</v>
      </c>
      <c r="D72" s="153" t="s">
        <v>662</v>
      </c>
      <c r="E72" s="153" t="s">
        <v>727</v>
      </c>
      <c r="F72" s="160" t="s">
        <v>1122</v>
      </c>
      <c r="G72" s="153" t="s">
        <v>1083</v>
      </c>
      <c r="H72" s="152" t="s">
        <v>522</v>
      </c>
      <c r="I72" s="152" t="s">
        <v>508</v>
      </c>
      <c r="J72" s="157">
        <v>45973</v>
      </c>
      <c r="K72" s="157">
        <v>46337</v>
      </c>
      <c r="L72" s="139">
        <f t="shared" ca="1" si="1"/>
        <v>175</v>
      </c>
      <c r="M72" s="157">
        <v>45973</v>
      </c>
      <c r="N72" s="153"/>
      <c r="O72" s="153"/>
      <c r="P72" s="153"/>
      <c r="Q72" s="153"/>
      <c r="R72" s="153" t="s">
        <v>501</v>
      </c>
      <c r="S72" s="153"/>
      <c r="T72" s="153"/>
      <c r="U72" s="153"/>
      <c r="V72" s="153" t="s">
        <v>727</v>
      </c>
      <c r="W72" s="153" t="s">
        <v>1083</v>
      </c>
      <c r="X72" s="153" t="s">
        <v>1084</v>
      </c>
      <c r="Y72" s="153" t="s">
        <v>845</v>
      </c>
      <c r="Z72" s="157">
        <v>45973</v>
      </c>
      <c r="AA72" s="157">
        <v>45973</v>
      </c>
      <c r="AB72" s="157">
        <v>46337</v>
      </c>
      <c r="AC72" s="153" t="s">
        <v>1085</v>
      </c>
      <c r="AD72" s="153" t="s">
        <v>852</v>
      </c>
      <c r="AE72" s="158"/>
      <c r="AF72" s="158"/>
      <c r="AG72" s="158"/>
      <c r="AH72" s="158"/>
      <c r="AI72" s="159"/>
    </row>
    <row r="73" spans="1:35" ht="15" x14ac:dyDescent="0.2">
      <c r="A73" s="137"/>
      <c r="B73" s="152"/>
      <c r="C73" s="153" t="s">
        <v>197</v>
      </c>
      <c r="D73" s="152" t="s">
        <v>679</v>
      </c>
      <c r="E73" s="165" t="s">
        <v>827</v>
      </c>
      <c r="F73" s="160" t="s">
        <v>1180</v>
      </c>
      <c r="G73" s="153" t="s">
        <v>825</v>
      </c>
      <c r="H73" s="152" t="s">
        <v>522</v>
      </c>
      <c r="I73" s="152" t="s">
        <v>508</v>
      </c>
      <c r="J73" s="157">
        <v>44896</v>
      </c>
      <c r="K73" s="157">
        <v>45991</v>
      </c>
      <c r="L73" s="139">
        <f t="shared" ca="1" si="1"/>
        <v>-171</v>
      </c>
      <c r="M73" s="157">
        <v>44896</v>
      </c>
      <c r="N73" s="153" t="s">
        <v>824</v>
      </c>
      <c r="O73" s="153" t="s">
        <v>826</v>
      </c>
      <c r="P73" s="153"/>
      <c r="Q73" s="153"/>
      <c r="R73" s="154" t="s">
        <v>744</v>
      </c>
      <c r="S73" s="153">
        <v>11</v>
      </c>
      <c r="T73" s="153"/>
      <c r="U73" s="153"/>
      <c r="V73" s="153"/>
      <c r="W73" s="153"/>
      <c r="X73" s="153"/>
      <c r="Y73" s="153"/>
      <c r="Z73" s="153"/>
      <c r="AA73" s="153"/>
      <c r="AB73" s="153"/>
      <c r="AC73" s="153"/>
      <c r="AD73" s="153"/>
      <c r="AE73" s="158"/>
      <c r="AF73" s="158"/>
      <c r="AG73" s="158"/>
      <c r="AH73" s="158"/>
      <c r="AI73" s="159"/>
    </row>
    <row r="74" spans="1:35" ht="15" x14ac:dyDescent="0.2">
      <c r="A74" s="137"/>
      <c r="B74" s="152"/>
      <c r="C74" s="153" t="s">
        <v>197</v>
      </c>
      <c r="D74" s="152" t="s">
        <v>703</v>
      </c>
      <c r="E74" s="165" t="s">
        <v>702</v>
      </c>
      <c r="F74" s="160" t="s">
        <v>1181</v>
      </c>
      <c r="G74" s="153" t="s">
        <v>720</v>
      </c>
      <c r="H74" s="152" t="s">
        <v>522</v>
      </c>
      <c r="I74" s="152" t="s">
        <v>568</v>
      </c>
      <c r="J74" s="155">
        <v>45757</v>
      </c>
      <c r="K74" s="155">
        <v>46090</v>
      </c>
      <c r="L74" s="139">
        <f t="shared" ca="1" si="1"/>
        <v>-72</v>
      </c>
      <c r="M74" s="155">
        <v>46122</v>
      </c>
      <c r="N74" s="153" t="s">
        <v>721</v>
      </c>
      <c r="O74" s="153"/>
      <c r="P74" s="165" t="s">
        <v>702</v>
      </c>
      <c r="Q74" s="153"/>
      <c r="R74" s="154" t="s">
        <v>501</v>
      </c>
      <c r="S74" s="153" t="s">
        <v>371</v>
      </c>
      <c r="T74" s="153"/>
      <c r="U74" s="153"/>
      <c r="V74" s="165" t="s">
        <v>702</v>
      </c>
      <c r="W74" s="153" t="s">
        <v>720</v>
      </c>
      <c r="X74" s="153" t="s">
        <v>950</v>
      </c>
      <c r="Y74" s="153" t="s">
        <v>721</v>
      </c>
      <c r="Z74" s="155">
        <v>45757</v>
      </c>
      <c r="AA74" s="155">
        <v>45757</v>
      </c>
      <c r="AB74" s="157">
        <v>46090</v>
      </c>
      <c r="AC74" s="153" t="s">
        <v>951</v>
      </c>
      <c r="AD74" s="153" t="s">
        <v>952</v>
      </c>
      <c r="AE74" s="158"/>
      <c r="AF74" s="158"/>
      <c r="AG74" s="158"/>
      <c r="AH74" s="158"/>
      <c r="AI74" s="159"/>
    </row>
    <row r="75" spans="1:35" ht="30" x14ac:dyDescent="0.2">
      <c r="A75" s="137"/>
      <c r="B75" s="152">
        <v>2151</v>
      </c>
      <c r="C75" s="153" t="s">
        <v>197</v>
      </c>
      <c r="D75" s="152" t="s">
        <v>679</v>
      </c>
      <c r="E75" s="153" t="s">
        <v>713</v>
      </c>
      <c r="F75" s="160" t="s">
        <v>1182</v>
      </c>
      <c r="G75" s="167" t="s">
        <v>714</v>
      </c>
      <c r="H75" s="152" t="s">
        <v>522</v>
      </c>
      <c r="I75" s="152" t="s">
        <v>594</v>
      </c>
      <c r="J75" s="155">
        <v>45855</v>
      </c>
      <c r="K75" s="155">
        <v>46950</v>
      </c>
      <c r="L75" s="139">
        <f t="shared" ca="1" si="1"/>
        <v>788</v>
      </c>
      <c r="M75" s="162">
        <v>45748</v>
      </c>
      <c r="N75" s="161" t="s">
        <v>595</v>
      </c>
      <c r="O75" s="153"/>
      <c r="P75" s="153" t="s">
        <v>248</v>
      </c>
      <c r="Q75" s="153"/>
      <c r="R75" s="154" t="s">
        <v>501</v>
      </c>
      <c r="S75" s="153" t="s">
        <v>371</v>
      </c>
      <c r="T75" s="153"/>
      <c r="U75" s="153"/>
      <c r="V75" s="153"/>
      <c r="W75" s="153"/>
      <c r="X75" s="153"/>
      <c r="Y75" s="153"/>
      <c r="Z75" s="153"/>
      <c r="AA75" s="153"/>
      <c r="AB75" s="153"/>
      <c r="AC75" s="153"/>
      <c r="AD75" s="153"/>
      <c r="AE75" s="158"/>
      <c r="AF75" s="158"/>
      <c r="AG75" s="158"/>
      <c r="AH75" s="158"/>
      <c r="AI75" s="159"/>
    </row>
    <row r="76" spans="1:35" ht="15" x14ac:dyDescent="0.2">
      <c r="A76" s="137"/>
      <c r="B76" s="152"/>
      <c r="C76" s="153" t="s">
        <v>197</v>
      </c>
      <c r="D76" s="153" t="s">
        <v>664</v>
      </c>
      <c r="E76" s="165" t="s">
        <v>660</v>
      </c>
      <c r="F76" s="160" t="s">
        <v>660</v>
      </c>
      <c r="G76" s="153" t="s">
        <v>667</v>
      </c>
      <c r="H76" s="152" t="s">
        <v>522</v>
      </c>
      <c r="I76" s="152" t="s">
        <v>668</v>
      </c>
      <c r="J76" s="157">
        <v>45758</v>
      </c>
      <c r="K76" s="157">
        <v>46203</v>
      </c>
      <c r="L76" s="139">
        <f t="shared" ca="1" si="1"/>
        <v>41</v>
      </c>
      <c r="M76" s="157">
        <v>45839</v>
      </c>
      <c r="N76" s="153"/>
      <c r="O76" s="153"/>
      <c r="P76" s="153" t="s">
        <v>660</v>
      </c>
      <c r="Q76" s="153"/>
      <c r="R76" s="154" t="s">
        <v>501</v>
      </c>
      <c r="S76" s="153" t="s">
        <v>371</v>
      </c>
      <c r="T76" s="153"/>
      <c r="U76" s="153"/>
      <c r="V76" s="165" t="s">
        <v>722</v>
      </c>
      <c r="W76" s="153" t="s">
        <v>667</v>
      </c>
      <c r="X76" s="153" t="s">
        <v>904</v>
      </c>
      <c r="Y76" s="153" t="s">
        <v>894</v>
      </c>
      <c r="Z76" s="157">
        <v>45758</v>
      </c>
      <c r="AA76" s="157">
        <v>45839</v>
      </c>
      <c r="AB76" s="157">
        <v>46203</v>
      </c>
      <c r="AC76" s="153" t="s">
        <v>905</v>
      </c>
      <c r="AD76" s="153" t="s">
        <v>856</v>
      </c>
      <c r="AE76" s="158"/>
      <c r="AF76" s="158"/>
      <c r="AG76" s="158"/>
      <c r="AH76" s="158"/>
      <c r="AI76" s="159"/>
    </row>
    <row r="77" spans="1:35" ht="15" x14ac:dyDescent="0.2">
      <c r="A77" s="137"/>
      <c r="B77" s="152"/>
      <c r="C77" s="153" t="s">
        <v>197</v>
      </c>
      <c r="D77" s="152" t="s">
        <v>669</v>
      </c>
      <c r="E77" s="165" t="s">
        <v>740</v>
      </c>
      <c r="F77" s="160" t="s">
        <v>1183</v>
      </c>
      <c r="G77" s="153" t="s">
        <v>741</v>
      </c>
      <c r="H77" s="152" t="s">
        <v>522</v>
      </c>
      <c r="I77" s="152" t="s">
        <v>668</v>
      </c>
      <c r="J77" s="157">
        <v>45800</v>
      </c>
      <c r="K77" s="157">
        <v>46843</v>
      </c>
      <c r="L77" s="139">
        <f t="shared" ca="1" si="1"/>
        <v>681</v>
      </c>
      <c r="M77" s="157">
        <v>45748</v>
      </c>
      <c r="N77" s="153"/>
      <c r="O77" s="153"/>
      <c r="P77" s="165" t="s">
        <v>740</v>
      </c>
      <c r="Q77" s="153"/>
      <c r="R77" s="154" t="s">
        <v>501</v>
      </c>
      <c r="S77" s="153" t="s">
        <v>371</v>
      </c>
      <c r="T77" s="153"/>
      <c r="U77" s="153"/>
      <c r="V77" s="165" t="s">
        <v>740</v>
      </c>
      <c r="W77" s="153" t="s">
        <v>741</v>
      </c>
      <c r="X77" s="153" t="s">
        <v>943</v>
      </c>
      <c r="Y77" s="153" t="s">
        <v>877</v>
      </c>
      <c r="Z77" s="157">
        <v>45800</v>
      </c>
      <c r="AA77" s="157">
        <v>45748</v>
      </c>
      <c r="AB77" s="157">
        <v>46843</v>
      </c>
      <c r="AC77" s="153" t="s">
        <v>944</v>
      </c>
      <c r="AD77" s="153" t="s">
        <v>852</v>
      </c>
      <c r="AE77" s="158"/>
      <c r="AF77" s="158"/>
      <c r="AG77" s="158"/>
      <c r="AH77" s="158"/>
      <c r="AI77" s="159"/>
    </row>
    <row r="78" spans="1:35" ht="15" x14ac:dyDescent="0.2">
      <c r="A78" s="137"/>
      <c r="B78" s="152"/>
      <c r="C78" s="153" t="s">
        <v>197</v>
      </c>
      <c r="D78" s="153" t="s">
        <v>1118</v>
      </c>
      <c r="E78" s="165" t="s">
        <v>715</v>
      </c>
      <c r="F78" s="160" t="s">
        <v>673</v>
      </c>
      <c r="G78" s="153" t="s">
        <v>732</v>
      </c>
      <c r="H78" s="152" t="s">
        <v>522</v>
      </c>
      <c r="I78" s="152" t="s">
        <v>743</v>
      </c>
      <c r="J78" s="157">
        <v>45882</v>
      </c>
      <c r="K78" s="157">
        <v>46843</v>
      </c>
      <c r="L78" s="139">
        <f t="shared" ca="1" si="1"/>
        <v>681</v>
      </c>
      <c r="M78" s="157">
        <v>45882</v>
      </c>
      <c r="N78" s="153"/>
      <c r="O78" s="153"/>
      <c r="P78" s="165" t="s">
        <v>715</v>
      </c>
      <c r="Q78" s="153"/>
      <c r="R78" s="154" t="s">
        <v>501</v>
      </c>
      <c r="S78" s="153" t="s">
        <v>371</v>
      </c>
      <c r="T78" s="153"/>
      <c r="U78" s="153"/>
      <c r="V78" s="165" t="s">
        <v>715</v>
      </c>
      <c r="W78" s="153" t="s">
        <v>732</v>
      </c>
      <c r="X78" s="153" t="s">
        <v>955</v>
      </c>
      <c r="Y78" s="153" t="s">
        <v>877</v>
      </c>
      <c r="Z78" s="157">
        <v>45882</v>
      </c>
      <c r="AA78" s="157">
        <v>45748</v>
      </c>
      <c r="AB78" s="157">
        <v>46843</v>
      </c>
      <c r="AC78" s="153" t="s">
        <v>954</v>
      </c>
      <c r="AD78" s="153" t="s">
        <v>956</v>
      </c>
      <c r="AE78" s="158"/>
      <c r="AF78" s="158"/>
      <c r="AG78" s="158"/>
      <c r="AH78" s="158"/>
      <c r="AI78" s="159"/>
    </row>
    <row r="79" spans="1:35" ht="15" x14ac:dyDescent="0.2">
      <c r="A79" s="137"/>
      <c r="B79" s="152"/>
      <c r="C79" s="153" t="s">
        <v>197</v>
      </c>
      <c r="D79" s="152" t="s">
        <v>679</v>
      </c>
      <c r="E79" s="165" t="s">
        <v>715</v>
      </c>
      <c r="F79" s="160" t="s">
        <v>1184</v>
      </c>
      <c r="G79" s="153" t="s">
        <v>732</v>
      </c>
      <c r="H79" s="152" t="s">
        <v>522</v>
      </c>
      <c r="I79" s="152" t="s">
        <v>716</v>
      </c>
      <c r="J79" s="157">
        <v>45870</v>
      </c>
      <c r="K79" s="157">
        <v>46843</v>
      </c>
      <c r="L79" s="139">
        <f t="shared" ca="1" si="1"/>
        <v>681</v>
      </c>
      <c r="M79" s="157">
        <v>45881</v>
      </c>
      <c r="N79" s="153" t="s">
        <v>717</v>
      </c>
      <c r="O79" s="153" t="s">
        <v>718</v>
      </c>
      <c r="P79" s="165" t="s">
        <v>715</v>
      </c>
      <c r="Q79" s="153"/>
      <c r="R79" s="154" t="s">
        <v>501</v>
      </c>
      <c r="S79" s="153" t="s">
        <v>371</v>
      </c>
      <c r="T79" s="153"/>
      <c r="U79" s="153"/>
      <c r="V79" s="165" t="s">
        <v>715</v>
      </c>
      <c r="W79" s="153" t="s">
        <v>732</v>
      </c>
      <c r="X79" s="153" t="s">
        <v>953</v>
      </c>
      <c r="Y79" s="153" t="s">
        <v>845</v>
      </c>
      <c r="Z79" s="157">
        <v>45870</v>
      </c>
      <c r="AA79" s="157">
        <v>45870</v>
      </c>
      <c r="AB79" s="157">
        <v>46843</v>
      </c>
      <c r="AC79" s="153" t="s">
        <v>954</v>
      </c>
      <c r="AD79" s="153" t="s">
        <v>856</v>
      </c>
      <c r="AE79" s="158"/>
      <c r="AF79" s="158"/>
      <c r="AG79" s="158"/>
      <c r="AH79" s="158"/>
      <c r="AI79" s="159"/>
    </row>
    <row r="80" spans="1:35" ht="15" x14ac:dyDescent="0.2">
      <c r="A80" s="137"/>
      <c r="B80" s="152"/>
      <c r="C80" s="153" t="s">
        <v>197</v>
      </c>
      <c r="D80" s="153" t="s">
        <v>686</v>
      </c>
      <c r="E80" s="165" t="s">
        <v>96</v>
      </c>
      <c r="F80" s="160" t="s">
        <v>1185</v>
      </c>
      <c r="G80" s="153" t="s">
        <v>762</v>
      </c>
      <c r="H80" s="152" t="s">
        <v>522</v>
      </c>
      <c r="I80" s="152" t="s">
        <v>97</v>
      </c>
      <c r="J80" s="157">
        <v>45824</v>
      </c>
      <c r="K80" s="157">
        <v>46904</v>
      </c>
      <c r="L80" s="139">
        <f t="shared" ca="1" si="1"/>
        <v>742</v>
      </c>
      <c r="M80" s="157">
        <v>45824</v>
      </c>
      <c r="N80" s="153"/>
      <c r="O80" s="153"/>
      <c r="P80" s="165" t="s">
        <v>96</v>
      </c>
      <c r="Q80" s="153"/>
      <c r="R80" s="154" t="s">
        <v>501</v>
      </c>
      <c r="S80" s="153" t="s">
        <v>371</v>
      </c>
      <c r="T80" s="153"/>
      <c r="U80" s="153"/>
      <c r="V80" s="165" t="s">
        <v>96</v>
      </c>
      <c r="W80" s="153" t="s">
        <v>762</v>
      </c>
      <c r="X80" s="153" t="s">
        <v>1012</v>
      </c>
      <c r="Y80" s="153" t="s">
        <v>919</v>
      </c>
      <c r="Z80" s="157">
        <v>45824</v>
      </c>
      <c r="AA80" s="157">
        <v>45824</v>
      </c>
      <c r="AB80" s="157">
        <v>46904</v>
      </c>
      <c r="AC80" s="153" t="s">
        <v>1013</v>
      </c>
      <c r="AD80" s="153" t="s">
        <v>1013</v>
      </c>
      <c r="AE80" s="158"/>
      <c r="AF80" s="158"/>
      <c r="AG80" s="158"/>
      <c r="AH80" s="158"/>
      <c r="AI80" s="159"/>
    </row>
    <row r="81" spans="1:35" ht="15" x14ac:dyDescent="0.2">
      <c r="A81" s="137"/>
      <c r="B81" s="152"/>
      <c r="C81" s="153" t="s">
        <v>197</v>
      </c>
      <c r="D81" s="153" t="s">
        <v>686</v>
      </c>
      <c r="E81" s="165" t="s">
        <v>749</v>
      </c>
      <c r="F81" s="160" t="s">
        <v>1186</v>
      </c>
      <c r="G81" s="153" t="s">
        <v>750</v>
      </c>
      <c r="H81" s="152" t="s">
        <v>522</v>
      </c>
      <c r="I81" s="152" t="s">
        <v>668</v>
      </c>
      <c r="J81" s="157">
        <v>45824</v>
      </c>
      <c r="K81" s="157">
        <v>46477</v>
      </c>
      <c r="L81" s="139">
        <f t="shared" ca="1" si="1"/>
        <v>315</v>
      </c>
      <c r="M81" s="157">
        <v>45383</v>
      </c>
      <c r="N81" s="153"/>
      <c r="O81" s="153"/>
      <c r="P81" s="165" t="s">
        <v>749</v>
      </c>
      <c r="Q81" s="153"/>
      <c r="R81" s="154" t="s">
        <v>501</v>
      </c>
      <c r="S81" s="153" t="s">
        <v>371</v>
      </c>
      <c r="T81" s="153"/>
      <c r="U81" s="153"/>
      <c r="V81" s="153" t="s">
        <v>105</v>
      </c>
      <c r="W81" s="153" t="s">
        <v>750</v>
      </c>
      <c r="X81" s="153" t="s">
        <v>957</v>
      </c>
      <c r="Y81" s="153" t="s">
        <v>907</v>
      </c>
      <c r="Z81" s="157">
        <v>45824</v>
      </c>
      <c r="AA81" s="157">
        <v>45566</v>
      </c>
      <c r="AB81" s="157">
        <v>46660</v>
      </c>
      <c r="AC81" s="153" t="s">
        <v>849</v>
      </c>
      <c r="AD81" s="153" t="s">
        <v>850</v>
      </c>
      <c r="AE81" s="158"/>
      <c r="AF81" s="158"/>
      <c r="AG81" s="158"/>
      <c r="AH81" s="158"/>
      <c r="AI81" s="159"/>
    </row>
    <row r="82" spans="1:35" ht="15" x14ac:dyDescent="0.2">
      <c r="A82" s="137"/>
      <c r="B82" s="152"/>
      <c r="C82" s="153" t="s">
        <v>197</v>
      </c>
      <c r="D82" s="153" t="s">
        <v>686</v>
      </c>
      <c r="E82" s="165" t="s">
        <v>248</v>
      </c>
      <c r="F82" s="160" t="s">
        <v>248</v>
      </c>
      <c r="G82" s="153" t="s">
        <v>751</v>
      </c>
      <c r="H82" s="152" t="s">
        <v>522</v>
      </c>
      <c r="I82" s="152" t="s">
        <v>668</v>
      </c>
      <c r="J82" s="157">
        <v>45017</v>
      </c>
      <c r="K82" s="157">
        <v>46112</v>
      </c>
      <c r="L82" s="139">
        <f t="shared" ca="1" si="1"/>
        <v>-50</v>
      </c>
      <c r="M82" s="157">
        <v>45017</v>
      </c>
      <c r="N82" s="153"/>
      <c r="O82" s="153"/>
      <c r="P82" s="165" t="s">
        <v>248</v>
      </c>
      <c r="Q82" s="153"/>
      <c r="R82" s="154" t="s">
        <v>501</v>
      </c>
      <c r="S82" s="153" t="s">
        <v>371</v>
      </c>
      <c r="T82" s="153"/>
      <c r="U82" s="153"/>
      <c r="V82" s="165" t="s">
        <v>248</v>
      </c>
      <c r="W82" s="153" t="s">
        <v>751</v>
      </c>
      <c r="X82" s="153" t="s">
        <v>1017</v>
      </c>
      <c r="Y82" s="153" t="s">
        <v>919</v>
      </c>
      <c r="Z82" s="157">
        <v>45017</v>
      </c>
      <c r="AA82" s="157">
        <v>45017</v>
      </c>
      <c r="AB82" s="157">
        <v>46112</v>
      </c>
      <c r="AC82" s="153" t="s">
        <v>1018</v>
      </c>
      <c r="AD82" s="153" t="s">
        <v>992</v>
      </c>
      <c r="AE82" s="158"/>
      <c r="AF82" s="158"/>
      <c r="AG82" s="158"/>
      <c r="AH82" s="158"/>
      <c r="AI82" s="159"/>
    </row>
    <row r="83" spans="1:35" ht="15" x14ac:dyDescent="0.2">
      <c r="A83" s="137"/>
      <c r="B83" s="152"/>
      <c r="C83" s="153" t="s">
        <v>197</v>
      </c>
      <c r="D83" s="153" t="s">
        <v>686</v>
      </c>
      <c r="E83" s="165" t="s">
        <v>753</v>
      </c>
      <c r="F83" s="160" t="s">
        <v>1187</v>
      </c>
      <c r="G83" s="153" t="s">
        <v>752</v>
      </c>
      <c r="H83" s="152" t="s">
        <v>522</v>
      </c>
      <c r="I83" s="152" t="s">
        <v>668</v>
      </c>
      <c r="J83" s="157">
        <v>45628</v>
      </c>
      <c r="K83" s="157">
        <v>45963</v>
      </c>
      <c r="L83" s="139">
        <f t="shared" ca="1" si="1"/>
        <v>-199</v>
      </c>
      <c r="M83" s="157">
        <v>45628</v>
      </c>
      <c r="N83" s="153"/>
      <c r="O83" s="153"/>
      <c r="P83" s="165" t="s">
        <v>753</v>
      </c>
      <c r="Q83" s="153"/>
      <c r="R83" s="154" t="s">
        <v>700</v>
      </c>
      <c r="S83" s="153" t="s">
        <v>371</v>
      </c>
      <c r="T83" s="153"/>
      <c r="U83" s="153"/>
      <c r="V83" s="165" t="s">
        <v>753</v>
      </c>
      <c r="W83" s="153" t="s">
        <v>752</v>
      </c>
      <c r="X83" s="153" t="s">
        <v>1019</v>
      </c>
      <c r="Y83" s="153" t="s">
        <v>871</v>
      </c>
      <c r="Z83" s="157">
        <v>45628</v>
      </c>
      <c r="AA83" s="157">
        <v>45628</v>
      </c>
      <c r="AB83" s="157">
        <v>45963</v>
      </c>
      <c r="AC83" s="153" t="s">
        <v>1020</v>
      </c>
      <c r="AD83" s="153" t="s">
        <v>856</v>
      </c>
      <c r="AE83" s="158"/>
      <c r="AF83" s="158"/>
      <c r="AG83" s="158"/>
      <c r="AH83" s="158"/>
      <c r="AI83" s="159"/>
    </row>
    <row r="84" spans="1:35" ht="15" x14ac:dyDescent="0.2">
      <c r="A84" s="137"/>
      <c r="B84" s="152"/>
      <c r="C84" s="153" t="s">
        <v>197</v>
      </c>
      <c r="D84" s="153" t="s">
        <v>683</v>
      </c>
      <c r="E84" s="165" t="s">
        <v>755</v>
      </c>
      <c r="F84" s="160" t="s">
        <v>1188</v>
      </c>
      <c r="G84" s="153" t="s">
        <v>756</v>
      </c>
      <c r="H84" s="152" t="s">
        <v>522</v>
      </c>
      <c r="I84" s="152" t="s">
        <v>668</v>
      </c>
      <c r="J84" s="157">
        <v>45748</v>
      </c>
      <c r="K84" s="157">
        <v>46843</v>
      </c>
      <c r="L84" s="139">
        <f t="shared" ca="1" si="1"/>
        <v>681</v>
      </c>
      <c r="M84" s="157">
        <v>45748</v>
      </c>
      <c r="N84" s="153"/>
      <c r="O84" s="153"/>
      <c r="P84" s="165" t="s">
        <v>755</v>
      </c>
      <c r="Q84" s="153"/>
      <c r="R84" s="154" t="s">
        <v>501</v>
      </c>
      <c r="S84" s="153" t="s">
        <v>371</v>
      </c>
      <c r="T84" s="153"/>
      <c r="U84" s="153"/>
      <c r="V84" s="165" t="s">
        <v>755</v>
      </c>
      <c r="W84" s="153" t="s">
        <v>756</v>
      </c>
      <c r="X84" s="153" t="s">
        <v>1025</v>
      </c>
      <c r="Y84" s="153" t="s">
        <v>1022</v>
      </c>
      <c r="Z84" s="157">
        <v>45748</v>
      </c>
      <c r="AA84" s="157">
        <v>45748</v>
      </c>
      <c r="AB84" s="157">
        <v>46843</v>
      </c>
      <c r="AC84" s="153" t="s">
        <v>1026</v>
      </c>
      <c r="AD84" s="153" t="s">
        <v>1027</v>
      </c>
      <c r="AE84" s="158"/>
      <c r="AF84" s="158"/>
      <c r="AG84" s="158"/>
      <c r="AH84" s="158"/>
      <c r="AI84" s="159"/>
    </row>
    <row r="85" spans="1:35" ht="15" x14ac:dyDescent="0.2">
      <c r="A85" s="137"/>
      <c r="B85" s="152"/>
      <c r="C85" s="153" t="s">
        <v>197</v>
      </c>
      <c r="D85" s="153" t="s">
        <v>683</v>
      </c>
      <c r="E85" s="165" t="s">
        <v>759</v>
      </c>
      <c r="F85" s="160" t="s">
        <v>1189</v>
      </c>
      <c r="G85" s="153" t="s">
        <v>1031</v>
      </c>
      <c r="H85" s="152" t="s">
        <v>522</v>
      </c>
      <c r="I85" s="152" t="s">
        <v>668</v>
      </c>
      <c r="J85" s="157">
        <v>45758</v>
      </c>
      <c r="K85" s="157">
        <v>46843</v>
      </c>
      <c r="L85" s="139">
        <f t="shared" ca="1" si="1"/>
        <v>681</v>
      </c>
      <c r="M85" s="157">
        <v>45748</v>
      </c>
      <c r="N85" s="153"/>
      <c r="O85" s="153"/>
      <c r="P85" s="165" t="s">
        <v>759</v>
      </c>
      <c r="Q85" s="153"/>
      <c r="R85" s="154" t="s">
        <v>501</v>
      </c>
      <c r="S85" s="153" t="s">
        <v>371</v>
      </c>
      <c r="T85" s="153"/>
      <c r="U85" s="153"/>
      <c r="V85" s="165" t="s">
        <v>759</v>
      </c>
      <c r="W85" s="153" t="s">
        <v>1031</v>
      </c>
      <c r="X85" s="153" t="s">
        <v>1036</v>
      </c>
      <c r="Y85" s="153" t="s">
        <v>1022</v>
      </c>
      <c r="Z85" s="157">
        <v>45758</v>
      </c>
      <c r="AA85" s="157">
        <v>45748</v>
      </c>
      <c r="AB85" s="157">
        <v>46843</v>
      </c>
      <c r="AC85" s="153" t="s">
        <v>1037</v>
      </c>
      <c r="AD85" s="153" t="s">
        <v>1027</v>
      </c>
      <c r="AE85" s="158"/>
      <c r="AF85" s="158"/>
      <c r="AG85" s="158"/>
      <c r="AH85" s="158"/>
      <c r="AI85" s="159"/>
    </row>
    <row r="86" spans="1:35" ht="15" x14ac:dyDescent="0.2">
      <c r="A86" s="137"/>
      <c r="B86" s="152"/>
      <c r="C86" s="153" t="s">
        <v>197</v>
      </c>
      <c r="D86" s="153" t="s">
        <v>683</v>
      </c>
      <c r="E86" s="165" t="s">
        <v>760</v>
      </c>
      <c r="F86" s="160" t="s">
        <v>1190</v>
      </c>
      <c r="G86" s="153" t="s">
        <v>761</v>
      </c>
      <c r="H86" s="152" t="s">
        <v>522</v>
      </c>
      <c r="I86" s="152" t="s">
        <v>668</v>
      </c>
      <c r="J86" s="157">
        <v>45748</v>
      </c>
      <c r="K86" s="157">
        <v>46843</v>
      </c>
      <c r="L86" s="139">
        <f t="shared" ca="1" si="1"/>
        <v>681</v>
      </c>
      <c r="M86" s="157">
        <v>45748</v>
      </c>
      <c r="N86" s="153"/>
      <c r="O86" s="153"/>
      <c r="P86" s="165" t="s">
        <v>760</v>
      </c>
      <c r="Q86" s="153"/>
      <c r="R86" s="154" t="s">
        <v>501</v>
      </c>
      <c r="S86" s="153" t="s">
        <v>371</v>
      </c>
      <c r="T86" s="153"/>
      <c r="U86" s="153"/>
      <c r="V86" s="165" t="s">
        <v>760</v>
      </c>
      <c r="W86" s="153" t="s">
        <v>761</v>
      </c>
      <c r="X86" s="153" t="s">
        <v>1032</v>
      </c>
      <c r="Y86" s="153" t="s">
        <v>1022</v>
      </c>
      <c r="Z86" s="157">
        <v>45748</v>
      </c>
      <c r="AA86" s="157">
        <v>45748</v>
      </c>
      <c r="AB86" s="157">
        <v>46843</v>
      </c>
      <c r="AC86" s="153" t="s">
        <v>1033</v>
      </c>
      <c r="AD86" s="153" t="s">
        <v>1034</v>
      </c>
      <c r="AE86" s="158"/>
      <c r="AF86" s="158"/>
      <c r="AG86" s="158"/>
      <c r="AH86" s="158"/>
      <c r="AI86" s="159"/>
    </row>
    <row r="87" spans="1:35" ht="15" x14ac:dyDescent="0.2">
      <c r="A87" s="137"/>
      <c r="B87" s="152"/>
      <c r="C87" s="153" t="s">
        <v>197</v>
      </c>
      <c r="D87" s="153" t="s">
        <v>686</v>
      </c>
      <c r="E87" s="165" t="s">
        <v>248</v>
      </c>
      <c r="F87" s="160" t="s">
        <v>248</v>
      </c>
      <c r="G87" s="153" t="s">
        <v>751</v>
      </c>
      <c r="H87" s="152" t="s">
        <v>522</v>
      </c>
      <c r="I87" s="152" t="s">
        <v>668</v>
      </c>
      <c r="J87" s="157">
        <v>45597</v>
      </c>
      <c r="K87" s="157">
        <v>46477</v>
      </c>
      <c r="L87" s="139">
        <f t="shared" ref="L87:L115" ca="1" si="2">K87-TODAY()</f>
        <v>315</v>
      </c>
      <c r="M87" s="157">
        <v>45383</v>
      </c>
      <c r="N87" s="153"/>
      <c r="O87" s="153"/>
      <c r="P87" s="165" t="s">
        <v>248</v>
      </c>
      <c r="Q87" s="153"/>
      <c r="R87" s="154" t="s">
        <v>501</v>
      </c>
      <c r="S87" s="153" t="s">
        <v>371</v>
      </c>
      <c r="T87" s="153"/>
      <c r="U87" s="153"/>
      <c r="V87" s="165" t="s">
        <v>248</v>
      </c>
      <c r="W87" s="153" t="s">
        <v>751</v>
      </c>
      <c r="X87" s="153" t="s">
        <v>1035</v>
      </c>
      <c r="Y87" s="153" t="s">
        <v>871</v>
      </c>
      <c r="Z87" s="157">
        <v>45597</v>
      </c>
      <c r="AA87" s="157">
        <v>45383</v>
      </c>
      <c r="AB87" s="157">
        <v>46477</v>
      </c>
      <c r="AC87" s="153" t="s">
        <v>912</v>
      </c>
      <c r="AD87" s="153" t="s">
        <v>913</v>
      </c>
      <c r="AE87" s="158"/>
      <c r="AF87" s="158"/>
      <c r="AG87" s="158"/>
      <c r="AH87" s="158"/>
      <c r="AI87" s="159"/>
    </row>
    <row r="88" spans="1:35" ht="15" x14ac:dyDescent="0.2">
      <c r="A88" s="137"/>
      <c r="B88" s="152"/>
      <c r="C88" s="153" t="s">
        <v>197</v>
      </c>
      <c r="D88" s="152" t="s">
        <v>669</v>
      </c>
      <c r="E88" s="165" t="s">
        <v>764</v>
      </c>
      <c r="F88" s="160" t="s">
        <v>1191</v>
      </c>
      <c r="G88" s="153" t="s">
        <v>765</v>
      </c>
      <c r="H88" s="152" t="s">
        <v>522</v>
      </c>
      <c r="I88" s="152" t="s">
        <v>668</v>
      </c>
      <c r="J88" s="157">
        <v>45383</v>
      </c>
      <c r="K88" s="157">
        <v>46477</v>
      </c>
      <c r="L88" s="139">
        <f t="shared" ca="1" si="2"/>
        <v>315</v>
      </c>
      <c r="M88" s="157">
        <v>45383</v>
      </c>
      <c r="N88" s="153"/>
      <c r="O88" s="153"/>
      <c r="P88" s="165" t="s">
        <v>764</v>
      </c>
      <c r="Q88" s="153"/>
      <c r="R88" s="154" t="s">
        <v>501</v>
      </c>
      <c r="S88" s="153" t="s">
        <v>371</v>
      </c>
      <c r="T88" s="153"/>
      <c r="U88" s="153"/>
      <c r="V88" s="165" t="s">
        <v>764</v>
      </c>
      <c r="W88" s="153" t="s">
        <v>765</v>
      </c>
      <c r="X88" s="153" t="s">
        <v>958</v>
      </c>
      <c r="Y88" s="153" t="s">
        <v>959</v>
      </c>
      <c r="Z88" s="157">
        <v>45383</v>
      </c>
      <c r="AA88" s="157">
        <v>45383</v>
      </c>
      <c r="AB88" s="157">
        <v>46477</v>
      </c>
      <c r="AC88" s="153" t="s">
        <v>960</v>
      </c>
      <c r="AD88" s="153" t="s">
        <v>961</v>
      </c>
      <c r="AE88" s="158"/>
      <c r="AF88" s="158"/>
      <c r="AG88" s="158"/>
      <c r="AH88" s="158"/>
      <c r="AI88" s="159"/>
    </row>
    <row r="89" spans="1:35" ht="15" x14ac:dyDescent="0.2">
      <c r="A89" s="137"/>
      <c r="B89" s="152"/>
      <c r="C89" s="153" t="s">
        <v>197</v>
      </c>
      <c r="D89" s="152" t="s">
        <v>669</v>
      </c>
      <c r="E89" s="165" t="s">
        <v>766</v>
      </c>
      <c r="F89" s="160" t="s">
        <v>766</v>
      </c>
      <c r="G89" s="153" t="s">
        <v>767</v>
      </c>
      <c r="H89" s="152" t="s">
        <v>522</v>
      </c>
      <c r="I89" s="152" t="s">
        <v>668</v>
      </c>
      <c r="J89" s="157">
        <v>45444</v>
      </c>
      <c r="K89" s="157">
        <v>46477</v>
      </c>
      <c r="L89" s="139">
        <f t="shared" ca="1" si="2"/>
        <v>315</v>
      </c>
      <c r="M89" s="157">
        <v>45444</v>
      </c>
      <c r="N89" s="153"/>
      <c r="O89" s="153"/>
      <c r="P89" s="165" t="s">
        <v>766</v>
      </c>
      <c r="Q89" s="153"/>
      <c r="R89" s="154" t="s">
        <v>501</v>
      </c>
      <c r="S89" s="153" t="s">
        <v>371</v>
      </c>
      <c r="T89" s="153"/>
      <c r="U89" s="153"/>
      <c r="V89" s="165" t="s">
        <v>766</v>
      </c>
      <c r="W89" s="153" t="s">
        <v>767</v>
      </c>
      <c r="X89" s="153" t="s">
        <v>962</v>
      </c>
      <c r="Y89" s="153" t="s">
        <v>959</v>
      </c>
      <c r="Z89" s="157">
        <v>45444</v>
      </c>
      <c r="AA89" s="157">
        <v>45444</v>
      </c>
      <c r="AB89" s="157">
        <v>46477</v>
      </c>
      <c r="AC89" s="153" t="s">
        <v>963</v>
      </c>
      <c r="AD89" s="153" t="s">
        <v>852</v>
      </c>
      <c r="AE89" s="158"/>
      <c r="AF89" s="158"/>
      <c r="AG89" s="158"/>
      <c r="AH89" s="158"/>
      <c r="AI89" s="159"/>
    </row>
    <row r="90" spans="1:35" ht="15" x14ac:dyDescent="0.2">
      <c r="A90" s="137"/>
      <c r="B90" s="152"/>
      <c r="C90" s="153" t="s">
        <v>197</v>
      </c>
      <c r="D90" s="152" t="s">
        <v>669</v>
      </c>
      <c r="E90" s="165" t="s">
        <v>768</v>
      </c>
      <c r="F90" s="160" t="s">
        <v>1050</v>
      </c>
      <c r="G90" s="153" t="s">
        <v>769</v>
      </c>
      <c r="H90" s="152" t="s">
        <v>522</v>
      </c>
      <c r="I90" s="152" t="s">
        <v>668</v>
      </c>
      <c r="J90" s="157">
        <v>43556</v>
      </c>
      <c r="K90" s="157">
        <v>46112</v>
      </c>
      <c r="L90" s="139">
        <f t="shared" ca="1" si="2"/>
        <v>-50</v>
      </c>
      <c r="M90" s="157">
        <v>45210</v>
      </c>
      <c r="N90" s="153"/>
      <c r="O90" s="153"/>
      <c r="P90" s="165" t="s">
        <v>768</v>
      </c>
      <c r="Q90" s="153"/>
      <c r="R90" s="154" t="s">
        <v>501</v>
      </c>
      <c r="S90" s="153" t="s">
        <v>371</v>
      </c>
      <c r="T90" s="153"/>
      <c r="U90" s="153"/>
      <c r="V90" s="165" t="s">
        <v>768</v>
      </c>
      <c r="W90" s="153" t="s">
        <v>769</v>
      </c>
      <c r="X90" s="153" t="s">
        <v>964</v>
      </c>
      <c r="Y90" s="153" t="s">
        <v>959</v>
      </c>
      <c r="Z90" s="157">
        <v>43556</v>
      </c>
      <c r="AA90" s="157">
        <v>45210</v>
      </c>
      <c r="AB90" s="157">
        <v>46112</v>
      </c>
      <c r="AC90" s="153" t="s">
        <v>965</v>
      </c>
      <c r="AD90" s="153" t="s">
        <v>852</v>
      </c>
      <c r="AE90" s="158"/>
      <c r="AF90" s="158"/>
      <c r="AG90" s="158"/>
      <c r="AH90" s="158"/>
      <c r="AI90" s="159"/>
    </row>
    <row r="91" spans="1:35" ht="15" x14ac:dyDescent="0.2">
      <c r="A91" s="137"/>
      <c r="B91" s="152"/>
      <c r="C91" s="153" t="s">
        <v>197</v>
      </c>
      <c r="D91" s="152" t="s">
        <v>669</v>
      </c>
      <c r="E91" s="165" t="s">
        <v>787</v>
      </c>
      <c r="F91" s="160" t="s">
        <v>1193</v>
      </c>
      <c r="G91" s="153" t="s">
        <v>788</v>
      </c>
      <c r="H91" s="152" t="s">
        <v>522</v>
      </c>
      <c r="I91" s="152" t="s">
        <v>789</v>
      </c>
      <c r="J91" s="157">
        <v>45926</v>
      </c>
      <c r="K91" s="157">
        <v>47021</v>
      </c>
      <c r="L91" s="139">
        <f t="shared" ca="1" si="2"/>
        <v>859</v>
      </c>
      <c r="M91" s="157">
        <v>45926</v>
      </c>
      <c r="N91" s="153"/>
      <c r="O91" s="153"/>
      <c r="P91" s="165" t="s">
        <v>787</v>
      </c>
      <c r="Q91" s="153"/>
      <c r="R91" s="154" t="s">
        <v>501</v>
      </c>
      <c r="S91" s="153" t="s">
        <v>371</v>
      </c>
      <c r="T91" s="153"/>
      <c r="U91" s="153"/>
      <c r="V91" s="165" t="s">
        <v>787</v>
      </c>
      <c r="W91" s="153" t="s">
        <v>788</v>
      </c>
      <c r="X91" s="153" t="s">
        <v>879</v>
      </c>
      <c r="Y91" s="153" t="s">
        <v>877</v>
      </c>
      <c r="Z91" s="157">
        <v>45926</v>
      </c>
      <c r="AA91" s="157">
        <v>45926</v>
      </c>
      <c r="AB91" s="157">
        <v>47021</v>
      </c>
      <c r="AC91" s="153" t="s">
        <v>880</v>
      </c>
      <c r="AD91" s="153" t="s">
        <v>852</v>
      </c>
      <c r="AE91" s="158"/>
      <c r="AF91" s="158"/>
      <c r="AG91" s="158"/>
      <c r="AH91" s="158"/>
      <c r="AI91" s="159"/>
    </row>
    <row r="92" spans="1:35" ht="15" x14ac:dyDescent="0.2">
      <c r="A92" s="137"/>
      <c r="B92" s="152"/>
      <c r="C92" s="153" t="s">
        <v>197</v>
      </c>
      <c r="D92" s="152" t="s">
        <v>669</v>
      </c>
      <c r="E92" s="165" t="s">
        <v>790</v>
      </c>
      <c r="F92" s="160" t="s">
        <v>1194</v>
      </c>
      <c r="G92" s="153" t="s">
        <v>788</v>
      </c>
      <c r="H92" s="152" t="s">
        <v>522</v>
      </c>
      <c r="I92" s="152" t="s">
        <v>789</v>
      </c>
      <c r="J92" s="157">
        <v>45926</v>
      </c>
      <c r="K92" s="157">
        <v>47021</v>
      </c>
      <c r="L92" s="139">
        <f t="shared" ca="1" si="2"/>
        <v>859</v>
      </c>
      <c r="M92" s="157">
        <v>45926</v>
      </c>
      <c r="N92" s="153"/>
      <c r="O92" s="153"/>
      <c r="P92" s="165" t="s">
        <v>790</v>
      </c>
      <c r="Q92" s="153"/>
      <c r="R92" s="154" t="s">
        <v>501</v>
      </c>
      <c r="S92" s="153" t="s">
        <v>371</v>
      </c>
      <c r="T92" s="153"/>
      <c r="U92" s="153"/>
      <c r="V92" s="165" t="s">
        <v>790</v>
      </c>
      <c r="W92" s="153" t="s">
        <v>788</v>
      </c>
      <c r="X92" s="153" t="s">
        <v>876</v>
      </c>
      <c r="Y92" s="153" t="s">
        <v>877</v>
      </c>
      <c r="Z92" s="157">
        <v>45926</v>
      </c>
      <c r="AA92" s="157">
        <v>45926</v>
      </c>
      <c r="AB92" s="157">
        <v>47021</v>
      </c>
      <c r="AC92" s="153" t="s">
        <v>878</v>
      </c>
      <c r="AD92" s="153" t="s">
        <v>852</v>
      </c>
      <c r="AE92" s="158"/>
      <c r="AF92" s="158"/>
      <c r="AG92" s="158"/>
      <c r="AH92" s="158"/>
      <c r="AI92" s="159"/>
    </row>
    <row r="93" spans="1:35" ht="15" x14ac:dyDescent="0.2">
      <c r="A93" s="137"/>
      <c r="B93" s="152"/>
      <c r="C93" s="153" t="s">
        <v>197</v>
      </c>
      <c r="D93" s="152" t="s">
        <v>669</v>
      </c>
      <c r="E93" s="165" t="s">
        <v>791</v>
      </c>
      <c r="F93" s="160" t="s">
        <v>791</v>
      </c>
      <c r="G93" s="153" t="s">
        <v>792</v>
      </c>
      <c r="H93" s="152" t="s">
        <v>522</v>
      </c>
      <c r="I93" s="152" t="s">
        <v>245</v>
      </c>
      <c r="J93" s="157">
        <v>45824</v>
      </c>
      <c r="K93" s="157">
        <v>46843</v>
      </c>
      <c r="L93" s="139">
        <f t="shared" ca="1" si="2"/>
        <v>681</v>
      </c>
      <c r="M93" s="157">
        <v>45748</v>
      </c>
      <c r="N93" s="153"/>
      <c r="O93" s="153"/>
      <c r="P93" s="165" t="s">
        <v>791</v>
      </c>
      <c r="Q93" s="153"/>
      <c r="R93" s="154" t="s">
        <v>501</v>
      </c>
      <c r="S93" s="153" t="s">
        <v>371</v>
      </c>
      <c r="T93" s="153"/>
      <c r="U93" s="153"/>
      <c r="V93" s="165" t="s">
        <v>791</v>
      </c>
      <c r="W93" s="153" t="s">
        <v>792</v>
      </c>
      <c r="X93" s="153" t="s">
        <v>881</v>
      </c>
      <c r="Y93" s="153" t="s">
        <v>877</v>
      </c>
      <c r="Z93" s="157">
        <v>45824</v>
      </c>
      <c r="AA93" s="157">
        <v>45748</v>
      </c>
      <c r="AB93" s="157">
        <v>46843</v>
      </c>
      <c r="AC93" s="153" t="s">
        <v>882</v>
      </c>
      <c r="AD93" s="153" t="s">
        <v>852</v>
      </c>
      <c r="AE93" s="158"/>
      <c r="AF93" s="158"/>
      <c r="AG93" s="158"/>
      <c r="AH93" s="158"/>
      <c r="AI93" s="159"/>
    </row>
    <row r="94" spans="1:35" ht="15" x14ac:dyDescent="0.2">
      <c r="A94" s="137"/>
      <c r="B94" s="152"/>
      <c r="C94" s="153" t="s">
        <v>197</v>
      </c>
      <c r="D94" s="152" t="s">
        <v>669</v>
      </c>
      <c r="E94" s="165" t="s">
        <v>793</v>
      </c>
      <c r="F94" s="160" t="s">
        <v>793</v>
      </c>
      <c r="G94" s="153" t="s">
        <v>794</v>
      </c>
      <c r="H94" s="152" t="s">
        <v>522</v>
      </c>
      <c r="I94" s="152" t="s">
        <v>124</v>
      </c>
      <c r="J94" s="157">
        <v>45824</v>
      </c>
      <c r="K94" s="157">
        <v>46843</v>
      </c>
      <c r="L94" s="139">
        <f t="shared" ca="1" si="2"/>
        <v>681</v>
      </c>
      <c r="M94" s="157">
        <v>45748</v>
      </c>
      <c r="N94" s="153"/>
      <c r="O94" s="153"/>
      <c r="P94" s="165" t="s">
        <v>793</v>
      </c>
      <c r="Q94" s="153"/>
      <c r="R94" s="154" t="s">
        <v>501</v>
      </c>
      <c r="S94" s="153" t="s">
        <v>371</v>
      </c>
      <c r="T94" s="153"/>
      <c r="U94" s="153"/>
      <c r="V94" s="165" t="s">
        <v>793</v>
      </c>
      <c r="W94" s="153" t="s">
        <v>794</v>
      </c>
      <c r="X94" s="153" t="s">
        <v>970</v>
      </c>
      <c r="Y94" s="153" t="s">
        <v>877</v>
      </c>
      <c r="Z94" s="157">
        <v>45824</v>
      </c>
      <c r="AA94" s="157">
        <v>45748</v>
      </c>
      <c r="AB94" s="157">
        <v>46843</v>
      </c>
      <c r="AC94" s="153" t="s">
        <v>971</v>
      </c>
      <c r="AD94" s="153" t="s">
        <v>852</v>
      </c>
      <c r="AE94" s="158"/>
      <c r="AF94" s="158"/>
      <c r="AG94" s="158"/>
      <c r="AH94" s="158"/>
      <c r="AI94" s="159"/>
    </row>
    <row r="95" spans="1:35" ht="15" x14ac:dyDescent="0.2">
      <c r="A95" s="137"/>
      <c r="B95" s="152"/>
      <c r="C95" s="153" t="s">
        <v>197</v>
      </c>
      <c r="D95" s="152" t="s">
        <v>669</v>
      </c>
      <c r="E95" s="165" t="s">
        <v>785</v>
      </c>
      <c r="F95" s="160" t="s">
        <v>1195</v>
      </c>
      <c r="G95" s="153" t="s">
        <v>786</v>
      </c>
      <c r="H95" s="152" t="s">
        <v>522</v>
      </c>
      <c r="I95" s="152" t="s">
        <v>668</v>
      </c>
      <c r="J95" s="157">
        <v>45824</v>
      </c>
      <c r="K95" s="157">
        <v>46843</v>
      </c>
      <c r="L95" s="139">
        <f t="shared" ca="1" si="2"/>
        <v>681</v>
      </c>
      <c r="M95" s="157">
        <v>45748</v>
      </c>
      <c r="N95" s="153"/>
      <c r="O95" s="153"/>
      <c r="P95" s="165" t="s">
        <v>785</v>
      </c>
      <c r="Q95" s="153"/>
      <c r="R95" s="154" t="s">
        <v>501</v>
      </c>
      <c r="S95" s="153" t="s">
        <v>371</v>
      </c>
      <c r="T95" s="153"/>
      <c r="U95" s="153"/>
      <c r="V95" s="165" t="s">
        <v>785</v>
      </c>
      <c r="W95" s="153" t="s">
        <v>786</v>
      </c>
      <c r="X95" s="153" t="s">
        <v>972</v>
      </c>
      <c r="Y95" s="153" t="s">
        <v>877</v>
      </c>
      <c r="Z95" s="157">
        <v>45824</v>
      </c>
      <c r="AA95" s="157">
        <v>45748</v>
      </c>
      <c r="AB95" s="157">
        <v>46843</v>
      </c>
      <c r="AC95" s="153"/>
      <c r="AD95" s="153" t="s">
        <v>852</v>
      </c>
      <c r="AE95" s="158"/>
      <c r="AF95" s="158"/>
      <c r="AG95" s="158"/>
      <c r="AH95" s="158"/>
      <c r="AI95" s="159"/>
    </row>
    <row r="96" spans="1:35" ht="15" x14ac:dyDescent="0.2">
      <c r="A96" s="137"/>
      <c r="B96" s="152"/>
      <c r="C96" s="153" t="s">
        <v>197</v>
      </c>
      <c r="D96" s="152" t="s">
        <v>669</v>
      </c>
      <c r="E96" s="165" t="s">
        <v>779</v>
      </c>
      <c r="F96" s="160" t="s">
        <v>779</v>
      </c>
      <c r="G96" s="153" t="s">
        <v>780</v>
      </c>
      <c r="H96" s="152" t="s">
        <v>522</v>
      </c>
      <c r="I96" s="152" t="s">
        <v>668</v>
      </c>
      <c r="J96" s="157">
        <v>45748</v>
      </c>
      <c r="K96" s="157">
        <v>46843</v>
      </c>
      <c r="L96" s="139">
        <f t="shared" ca="1" si="2"/>
        <v>681</v>
      </c>
      <c r="M96" s="157">
        <v>45748</v>
      </c>
      <c r="N96" s="153"/>
      <c r="O96" s="153"/>
      <c r="P96" s="165" t="s">
        <v>779</v>
      </c>
      <c r="Q96" s="153"/>
      <c r="R96" s="154" t="s">
        <v>501</v>
      </c>
      <c r="S96" s="153" t="s">
        <v>371</v>
      </c>
      <c r="T96" s="153"/>
      <c r="U96" s="153"/>
      <c r="V96" s="165" t="s">
        <v>779</v>
      </c>
      <c r="W96" s="153" t="s">
        <v>780</v>
      </c>
      <c r="X96" s="153" t="s">
        <v>973</v>
      </c>
      <c r="Y96" s="153" t="s">
        <v>877</v>
      </c>
      <c r="Z96" s="157">
        <v>45748</v>
      </c>
      <c r="AA96" s="157">
        <v>45748</v>
      </c>
      <c r="AB96" s="157">
        <v>46843</v>
      </c>
      <c r="AC96" s="153" t="s">
        <v>974</v>
      </c>
      <c r="AD96" s="153" t="s">
        <v>852</v>
      </c>
      <c r="AE96" s="158"/>
      <c r="AF96" s="158"/>
      <c r="AG96" s="158"/>
      <c r="AH96" s="158"/>
      <c r="AI96" s="159"/>
    </row>
    <row r="97" spans="1:35" ht="15" x14ac:dyDescent="0.2">
      <c r="A97" s="137"/>
      <c r="B97" s="152"/>
      <c r="C97" s="153" t="s">
        <v>197</v>
      </c>
      <c r="D97" s="152" t="s">
        <v>669</v>
      </c>
      <c r="E97" s="165" t="s">
        <v>795</v>
      </c>
      <c r="F97" s="160" t="s">
        <v>795</v>
      </c>
      <c r="G97" s="153" t="s">
        <v>796</v>
      </c>
      <c r="H97" s="152" t="s">
        <v>522</v>
      </c>
      <c r="I97" s="152" t="s">
        <v>45</v>
      </c>
      <c r="J97" s="157">
        <v>45854</v>
      </c>
      <c r="K97" s="157">
        <v>46843</v>
      </c>
      <c r="L97" s="139">
        <f t="shared" ca="1" si="2"/>
        <v>681</v>
      </c>
      <c r="M97" s="157">
        <v>45748</v>
      </c>
      <c r="N97" s="153"/>
      <c r="O97" s="153"/>
      <c r="P97" s="165" t="s">
        <v>795</v>
      </c>
      <c r="Q97" s="153"/>
      <c r="R97" s="154" t="s">
        <v>501</v>
      </c>
      <c r="S97" s="153" t="s">
        <v>371</v>
      </c>
      <c r="T97" s="153"/>
      <c r="U97" s="153"/>
      <c r="V97" s="165" t="s">
        <v>795</v>
      </c>
      <c r="W97" s="153" t="s">
        <v>796</v>
      </c>
      <c r="X97" s="153" t="s">
        <v>975</v>
      </c>
      <c r="Y97" s="153" t="s">
        <v>877</v>
      </c>
      <c r="Z97" s="157">
        <v>45854</v>
      </c>
      <c r="AA97" s="157">
        <v>45748</v>
      </c>
      <c r="AB97" s="157">
        <v>46843</v>
      </c>
      <c r="AC97" s="153" t="s">
        <v>976</v>
      </c>
      <c r="AD97" s="153" t="s">
        <v>852</v>
      </c>
      <c r="AE97" s="158"/>
      <c r="AF97" s="158"/>
      <c r="AG97" s="158"/>
      <c r="AH97" s="158"/>
      <c r="AI97" s="159"/>
    </row>
    <row r="98" spans="1:35" ht="15" x14ac:dyDescent="0.2">
      <c r="A98" s="137"/>
      <c r="B98" s="152"/>
      <c r="C98" s="153" t="s">
        <v>197</v>
      </c>
      <c r="D98" s="152" t="s">
        <v>669</v>
      </c>
      <c r="E98" s="165" t="s">
        <v>777</v>
      </c>
      <c r="F98" s="160" t="s">
        <v>777</v>
      </c>
      <c r="G98" s="153" t="s">
        <v>778</v>
      </c>
      <c r="H98" s="152" t="s">
        <v>522</v>
      </c>
      <c r="I98" s="152" t="s">
        <v>801</v>
      </c>
      <c r="J98" s="157">
        <v>45748</v>
      </c>
      <c r="K98" s="157">
        <v>46843</v>
      </c>
      <c r="L98" s="139">
        <f t="shared" ca="1" si="2"/>
        <v>681</v>
      </c>
      <c r="M98" s="157">
        <v>45748</v>
      </c>
      <c r="N98" s="153"/>
      <c r="O98" s="153"/>
      <c r="P98" s="165" t="s">
        <v>777</v>
      </c>
      <c r="Q98" s="153"/>
      <c r="R98" s="154" t="s">
        <v>501</v>
      </c>
      <c r="S98" s="153" t="s">
        <v>371</v>
      </c>
      <c r="T98" s="153"/>
      <c r="U98" s="153"/>
      <c r="V98" s="165" t="s">
        <v>777</v>
      </c>
      <c r="W98" s="153" t="s">
        <v>778</v>
      </c>
      <c r="X98" s="153" t="s">
        <v>883</v>
      </c>
      <c r="Y98" s="153" t="s">
        <v>877</v>
      </c>
      <c r="Z98" s="157">
        <v>45748</v>
      </c>
      <c r="AA98" s="157">
        <v>45748</v>
      </c>
      <c r="AB98" s="157">
        <v>46843</v>
      </c>
      <c r="AC98" s="153" t="s">
        <v>884</v>
      </c>
      <c r="AD98" s="153" t="s">
        <v>885</v>
      </c>
      <c r="AE98" s="158"/>
      <c r="AF98" s="158"/>
      <c r="AG98" s="158"/>
      <c r="AH98" s="158"/>
      <c r="AI98" s="159"/>
    </row>
    <row r="99" spans="1:35" ht="15" x14ac:dyDescent="0.2">
      <c r="A99" s="137"/>
      <c r="B99" s="152"/>
      <c r="C99" s="153" t="s">
        <v>197</v>
      </c>
      <c r="D99" s="152" t="s">
        <v>669</v>
      </c>
      <c r="E99" s="165" t="s">
        <v>802</v>
      </c>
      <c r="F99" s="160" t="s">
        <v>802</v>
      </c>
      <c r="G99" s="153" t="s">
        <v>803</v>
      </c>
      <c r="H99" s="152" t="s">
        <v>522</v>
      </c>
      <c r="I99" s="152" t="s">
        <v>124</v>
      </c>
      <c r="J99" s="157">
        <v>45807</v>
      </c>
      <c r="K99" s="157">
        <v>46843</v>
      </c>
      <c r="L99" s="139">
        <f t="shared" ca="1" si="2"/>
        <v>681</v>
      </c>
      <c r="M99" s="157">
        <v>45748</v>
      </c>
      <c r="N99" s="153"/>
      <c r="O99" s="153"/>
      <c r="P99" s="165" t="s">
        <v>802</v>
      </c>
      <c r="Q99" s="153"/>
      <c r="R99" s="154" t="s">
        <v>501</v>
      </c>
      <c r="S99" s="153" t="s">
        <v>371</v>
      </c>
      <c r="T99" s="153"/>
      <c r="U99" s="153"/>
      <c r="V99" s="165" t="s">
        <v>802</v>
      </c>
      <c r="W99" s="153" t="s">
        <v>803</v>
      </c>
      <c r="X99" s="153" t="s">
        <v>983</v>
      </c>
      <c r="Y99" s="153" t="s">
        <v>877</v>
      </c>
      <c r="Z99" s="157">
        <v>45807</v>
      </c>
      <c r="AA99" s="157">
        <v>45748</v>
      </c>
      <c r="AB99" s="157">
        <v>46843</v>
      </c>
      <c r="AC99" s="153" t="s">
        <v>984</v>
      </c>
      <c r="AD99" s="153" t="s">
        <v>852</v>
      </c>
      <c r="AE99" s="158"/>
      <c r="AF99" s="158"/>
      <c r="AG99" s="158"/>
      <c r="AH99" s="158"/>
      <c r="AI99" s="159"/>
    </row>
    <row r="100" spans="1:35" ht="15" x14ac:dyDescent="0.2">
      <c r="A100" s="137"/>
      <c r="B100" s="152"/>
      <c r="C100" s="153" t="s">
        <v>197</v>
      </c>
      <c r="D100" s="152" t="s">
        <v>669</v>
      </c>
      <c r="E100" s="165" t="s">
        <v>773</v>
      </c>
      <c r="F100" s="160" t="s">
        <v>1048</v>
      </c>
      <c r="G100" s="153" t="s">
        <v>774</v>
      </c>
      <c r="H100" s="152" t="s">
        <v>522</v>
      </c>
      <c r="I100" s="152" t="s">
        <v>124</v>
      </c>
      <c r="J100" s="157">
        <v>45748</v>
      </c>
      <c r="K100" s="157">
        <v>46843</v>
      </c>
      <c r="L100" s="139">
        <f t="shared" ca="1" si="2"/>
        <v>681</v>
      </c>
      <c r="M100" s="157">
        <v>45748</v>
      </c>
      <c r="N100" s="153"/>
      <c r="O100" s="153"/>
      <c r="P100" s="165" t="s">
        <v>773</v>
      </c>
      <c r="Q100" s="153"/>
      <c r="R100" s="154" t="s">
        <v>501</v>
      </c>
      <c r="S100" s="153" t="s">
        <v>371</v>
      </c>
      <c r="T100" s="153"/>
      <c r="U100" s="153"/>
      <c r="V100" s="165" t="s">
        <v>773</v>
      </c>
      <c r="W100" s="153" t="s">
        <v>774</v>
      </c>
      <c r="X100" s="153" t="s">
        <v>985</v>
      </c>
      <c r="Y100" s="153" t="s">
        <v>877</v>
      </c>
      <c r="Z100" s="157">
        <v>45748</v>
      </c>
      <c r="AA100" s="157">
        <v>45748</v>
      </c>
      <c r="AB100" s="157">
        <v>46843</v>
      </c>
      <c r="AC100" s="153" t="s">
        <v>986</v>
      </c>
      <c r="AD100" s="153" t="s">
        <v>852</v>
      </c>
      <c r="AE100" s="158"/>
      <c r="AF100" s="158"/>
      <c r="AG100" s="158"/>
      <c r="AH100" s="158"/>
      <c r="AI100" s="159"/>
    </row>
    <row r="101" spans="1:35" ht="15" x14ac:dyDescent="0.2">
      <c r="A101" s="137"/>
      <c r="B101" s="152"/>
      <c r="C101" s="153" t="s">
        <v>197</v>
      </c>
      <c r="D101" s="152" t="s">
        <v>669</v>
      </c>
      <c r="E101" s="165" t="s">
        <v>987</v>
      </c>
      <c r="F101" s="160" t="s">
        <v>987</v>
      </c>
      <c r="G101" s="153" t="s">
        <v>805</v>
      </c>
      <c r="H101" s="152" t="s">
        <v>522</v>
      </c>
      <c r="I101" s="152" t="s">
        <v>124</v>
      </c>
      <c r="J101" s="157">
        <v>45768</v>
      </c>
      <c r="K101" s="157">
        <v>46843</v>
      </c>
      <c r="L101" s="139">
        <f t="shared" ca="1" si="2"/>
        <v>681</v>
      </c>
      <c r="M101" s="157">
        <v>45748</v>
      </c>
      <c r="N101" s="153"/>
      <c r="O101" s="153"/>
      <c r="P101" s="165" t="s">
        <v>804</v>
      </c>
      <c r="Q101" s="153"/>
      <c r="R101" s="154" t="s">
        <v>501</v>
      </c>
      <c r="S101" s="153" t="s">
        <v>371</v>
      </c>
      <c r="T101" s="153"/>
      <c r="U101" s="153"/>
      <c r="V101" s="165" t="s">
        <v>987</v>
      </c>
      <c r="W101" s="153" t="s">
        <v>805</v>
      </c>
      <c r="X101" s="153" t="s">
        <v>989</v>
      </c>
      <c r="Y101" s="153" t="s">
        <v>877</v>
      </c>
      <c r="Z101" s="157">
        <v>45768</v>
      </c>
      <c r="AA101" s="157">
        <v>45748</v>
      </c>
      <c r="AB101" s="157">
        <v>46843</v>
      </c>
      <c r="AC101" s="153" t="s">
        <v>988</v>
      </c>
      <c r="AD101" s="153" t="s">
        <v>852</v>
      </c>
      <c r="AE101" s="158"/>
      <c r="AF101" s="158"/>
      <c r="AG101" s="158"/>
      <c r="AH101" s="158"/>
      <c r="AI101" s="159"/>
    </row>
    <row r="102" spans="1:35" ht="15" x14ac:dyDescent="0.2">
      <c r="A102" s="137"/>
      <c r="B102" s="152"/>
      <c r="C102" s="153" t="s">
        <v>197</v>
      </c>
      <c r="D102" s="152" t="s">
        <v>669</v>
      </c>
      <c r="E102" s="165" t="s">
        <v>806</v>
      </c>
      <c r="F102" s="160" t="s">
        <v>1196</v>
      </c>
      <c r="G102" s="153" t="s">
        <v>807</v>
      </c>
      <c r="H102" s="152" t="s">
        <v>522</v>
      </c>
      <c r="I102" s="152" t="s">
        <v>801</v>
      </c>
      <c r="J102" s="157">
        <v>45748</v>
      </c>
      <c r="K102" s="157">
        <v>46843</v>
      </c>
      <c r="L102" s="139">
        <f t="shared" ca="1" si="2"/>
        <v>681</v>
      </c>
      <c r="M102" s="157">
        <v>45748</v>
      </c>
      <c r="N102" s="153"/>
      <c r="O102" s="153"/>
      <c r="P102" s="165" t="s">
        <v>806</v>
      </c>
      <c r="Q102" s="153"/>
      <c r="R102" s="154" t="s">
        <v>501</v>
      </c>
      <c r="S102" s="153" t="s">
        <v>371</v>
      </c>
      <c r="T102" s="153"/>
      <c r="U102" s="153"/>
      <c r="V102" s="165" t="s">
        <v>806</v>
      </c>
      <c r="W102" s="153" t="s">
        <v>807</v>
      </c>
      <c r="X102" s="153" t="s">
        <v>990</v>
      </c>
      <c r="Y102" s="153" t="s">
        <v>877</v>
      </c>
      <c r="Z102" s="157">
        <v>45748</v>
      </c>
      <c r="AA102" s="157">
        <v>45748</v>
      </c>
      <c r="AB102" s="157">
        <v>46843</v>
      </c>
      <c r="AC102" s="153" t="s">
        <v>991</v>
      </c>
      <c r="AD102" s="153" t="s">
        <v>992</v>
      </c>
      <c r="AE102" s="158"/>
      <c r="AF102" s="158"/>
      <c r="AG102" s="158"/>
      <c r="AH102" s="158"/>
      <c r="AI102" s="159"/>
    </row>
    <row r="103" spans="1:35" ht="15" x14ac:dyDescent="0.2">
      <c r="A103" s="137"/>
      <c r="B103" s="152"/>
      <c r="C103" s="153" t="s">
        <v>197</v>
      </c>
      <c r="D103" s="152" t="s">
        <v>669</v>
      </c>
      <c r="E103" s="165" t="s">
        <v>808</v>
      </c>
      <c r="F103" s="160" t="s">
        <v>808</v>
      </c>
      <c r="G103" s="153" t="s">
        <v>809</v>
      </c>
      <c r="H103" s="152" t="s">
        <v>522</v>
      </c>
      <c r="I103" s="152" t="s">
        <v>812</v>
      </c>
      <c r="J103" s="157">
        <v>45748</v>
      </c>
      <c r="K103" s="157">
        <v>46843</v>
      </c>
      <c r="L103" s="139">
        <f t="shared" ca="1" si="2"/>
        <v>681</v>
      </c>
      <c r="M103" s="157">
        <v>45748</v>
      </c>
      <c r="N103" s="153"/>
      <c r="O103" s="153"/>
      <c r="P103" s="165" t="s">
        <v>808</v>
      </c>
      <c r="Q103" s="153"/>
      <c r="R103" s="154" t="s">
        <v>501</v>
      </c>
      <c r="S103" s="153" t="s">
        <v>371</v>
      </c>
      <c r="T103" s="153"/>
      <c r="U103" s="153"/>
      <c r="V103" s="165" t="s">
        <v>808</v>
      </c>
      <c r="W103" s="153" t="s">
        <v>809</v>
      </c>
      <c r="X103" s="153" t="s">
        <v>993</v>
      </c>
      <c r="Y103" s="153" t="s">
        <v>877</v>
      </c>
      <c r="Z103" s="157">
        <v>45748</v>
      </c>
      <c r="AA103" s="157">
        <v>45748</v>
      </c>
      <c r="AB103" s="157">
        <v>46843</v>
      </c>
      <c r="AC103" s="153" t="s">
        <v>994</v>
      </c>
      <c r="AD103" s="153" t="s">
        <v>852</v>
      </c>
      <c r="AE103" s="158"/>
      <c r="AF103" s="158"/>
      <c r="AG103" s="158"/>
      <c r="AH103" s="158"/>
      <c r="AI103" s="159"/>
    </row>
    <row r="104" spans="1:35" ht="15" x14ac:dyDescent="0.2">
      <c r="A104" s="137"/>
      <c r="B104" s="152"/>
      <c r="C104" s="153" t="s">
        <v>197</v>
      </c>
      <c r="D104" s="152" t="s">
        <v>669</v>
      </c>
      <c r="E104" s="165" t="s">
        <v>810</v>
      </c>
      <c r="F104" s="160" t="s">
        <v>810</v>
      </c>
      <c r="G104" s="153" t="s">
        <v>811</v>
      </c>
      <c r="H104" s="152" t="s">
        <v>522</v>
      </c>
      <c r="I104" s="152" t="s">
        <v>812</v>
      </c>
      <c r="J104" s="157">
        <v>45748</v>
      </c>
      <c r="K104" s="157">
        <v>46843</v>
      </c>
      <c r="L104" s="139">
        <f t="shared" ca="1" si="2"/>
        <v>681</v>
      </c>
      <c r="M104" s="157">
        <v>45748</v>
      </c>
      <c r="N104" s="153"/>
      <c r="O104" s="153"/>
      <c r="P104" s="165" t="s">
        <v>810</v>
      </c>
      <c r="Q104" s="153"/>
      <c r="R104" s="154" t="s">
        <v>501</v>
      </c>
      <c r="S104" s="153" t="s">
        <v>371</v>
      </c>
      <c r="T104" s="153"/>
      <c r="U104" s="153"/>
      <c r="V104" s="165" t="s">
        <v>810</v>
      </c>
      <c r="W104" s="153" t="s">
        <v>811</v>
      </c>
      <c r="X104" s="153" t="s">
        <v>995</v>
      </c>
      <c r="Y104" s="153" t="s">
        <v>877</v>
      </c>
      <c r="Z104" s="157">
        <v>45748</v>
      </c>
      <c r="AA104" s="157">
        <v>45748</v>
      </c>
      <c r="AB104" s="157">
        <v>46843</v>
      </c>
      <c r="AC104" s="153" t="s">
        <v>996</v>
      </c>
      <c r="AD104" s="153" t="s">
        <v>852</v>
      </c>
      <c r="AE104" s="158"/>
      <c r="AF104" s="158"/>
      <c r="AG104" s="158"/>
      <c r="AH104" s="158"/>
      <c r="AI104" s="159"/>
    </row>
    <row r="105" spans="1:35" ht="15" x14ac:dyDescent="0.2">
      <c r="A105" s="137"/>
      <c r="B105" s="152"/>
      <c r="C105" s="153" t="s">
        <v>197</v>
      </c>
      <c r="D105" s="152" t="s">
        <v>669</v>
      </c>
      <c r="E105" s="165" t="s">
        <v>783</v>
      </c>
      <c r="F105" s="160" t="s">
        <v>1197</v>
      </c>
      <c r="G105" s="153" t="s">
        <v>813</v>
      </c>
      <c r="H105" s="152" t="s">
        <v>522</v>
      </c>
      <c r="I105" s="152" t="s">
        <v>124</v>
      </c>
      <c r="J105" s="157">
        <v>45748</v>
      </c>
      <c r="K105" s="157">
        <v>46843</v>
      </c>
      <c r="L105" s="139">
        <f t="shared" ca="1" si="2"/>
        <v>681</v>
      </c>
      <c r="M105" s="157">
        <v>45748</v>
      </c>
      <c r="N105" s="153"/>
      <c r="O105" s="153"/>
      <c r="P105" s="165" t="s">
        <v>783</v>
      </c>
      <c r="Q105" s="153"/>
      <c r="R105" s="154" t="s">
        <v>501</v>
      </c>
      <c r="S105" s="153" t="s">
        <v>371</v>
      </c>
      <c r="T105" s="153"/>
      <c r="U105" s="153"/>
      <c r="V105" s="165" t="s">
        <v>783</v>
      </c>
      <c r="W105" s="153" t="s">
        <v>813</v>
      </c>
      <c r="X105" s="153" t="s">
        <v>997</v>
      </c>
      <c r="Y105" s="153" t="s">
        <v>877</v>
      </c>
      <c r="Z105" s="157">
        <v>45748</v>
      </c>
      <c r="AA105" s="157">
        <v>45748</v>
      </c>
      <c r="AB105" s="157">
        <v>46843</v>
      </c>
      <c r="AC105" s="153" t="s">
        <v>998</v>
      </c>
      <c r="AD105" s="153" t="s">
        <v>856</v>
      </c>
      <c r="AE105" s="158"/>
      <c r="AF105" s="158"/>
      <c r="AG105" s="158"/>
      <c r="AH105" s="158"/>
      <c r="AI105" s="159"/>
    </row>
    <row r="106" spans="1:35" ht="15" x14ac:dyDescent="0.2">
      <c r="A106" s="137"/>
      <c r="B106" s="152"/>
      <c r="C106" s="153" t="s">
        <v>197</v>
      </c>
      <c r="D106" s="152" t="s">
        <v>669</v>
      </c>
      <c r="E106" s="165" t="s">
        <v>772</v>
      </c>
      <c r="F106" s="160" t="s">
        <v>772</v>
      </c>
      <c r="G106" s="153" t="s">
        <v>814</v>
      </c>
      <c r="H106" s="152" t="s">
        <v>522</v>
      </c>
      <c r="I106" s="152"/>
      <c r="J106" s="157">
        <v>45748</v>
      </c>
      <c r="K106" s="157">
        <v>46843</v>
      </c>
      <c r="L106" s="139">
        <f t="shared" ca="1" si="2"/>
        <v>681</v>
      </c>
      <c r="M106" s="157">
        <v>45748</v>
      </c>
      <c r="N106" s="153"/>
      <c r="O106" s="153"/>
      <c r="P106" s="165" t="s">
        <v>772</v>
      </c>
      <c r="Q106" s="153"/>
      <c r="R106" s="154" t="s">
        <v>501</v>
      </c>
      <c r="S106" s="153" t="s">
        <v>371</v>
      </c>
      <c r="T106" s="153"/>
      <c r="U106" s="153"/>
      <c r="V106" s="165" t="s">
        <v>772</v>
      </c>
      <c r="W106" s="153" t="s">
        <v>814</v>
      </c>
      <c r="X106" s="153" t="s">
        <v>999</v>
      </c>
      <c r="Y106" s="153" t="s">
        <v>877</v>
      </c>
      <c r="Z106" s="157">
        <v>45748</v>
      </c>
      <c r="AA106" s="157">
        <v>45748</v>
      </c>
      <c r="AB106" s="157">
        <v>46843</v>
      </c>
      <c r="AC106" s="153" t="s">
        <v>1000</v>
      </c>
      <c r="AD106" s="153" t="s">
        <v>852</v>
      </c>
      <c r="AE106" s="158"/>
      <c r="AF106" s="158"/>
      <c r="AG106" s="158"/>
      <c r="AH106" s="158"/>
      <c r="AI106" s="159"/>
    </row>
    <row r="107" spans="1:35" ht="15" x14ac:dyDescent="0.2">
      <c r="A107" s="137"/>
      <c r="B107" s="152"/>
      <c r="C107" s="153" t="s">
        <v>197</v>
      </c>
      <c r="D107" s="152" t="s">
        <v>669</v>
      </c>
      <c r="E107" s="165" t="s">
        <v>815</v>
      </c>
      <c r="F107" s="160" t="s">
        <v>815</v>
      </c>
      <c r="G107" s="153" t="s">
        <v>816</v>
      </c>
      <c r="H107" s="152" t="s">
        <v>522</v>
      </c>
      <c r="I107" s="152"/>
      <c r="J107" s="157">
        <v>45748</v>
      </c>
      <c r="K107" s="157">
        <v>46843</v>
      </c>
      <c r="L107" s="139">
        <f t="shared" ca="1" si="2"/>
        <v>681</v>
      </c>
      <c r="M107" s="157">
        <v>45748</v>
      </c>
      <c r="N107" s="153"/>
      <c r="O107" s="153"/>
      <c r="P107" s="165" t="s">
        <v>815</v>
      </c>
      <c r="Q107" s="153"/>
      <c r="R107" s="154" t="s">
        <v>501</v>
      </c>
      <c r="S107" s="153" t="s">
        <v>371</v>
      </c>
      <c r="T107" s="153"/>
      <c r="U107" s="153"/>
      <c r="V107" s="165" t="s">
        <v>815</v>
      </c>
      <c r="W107" s="153" t="s">
        <v>816</v>
      </c>
      <c r="X107" s="153" t="s">
        <v>889</v>
      </c>
      <c r="Y107" s="153" t="s">
        <v>877</v>
      </c>
      <c r="Z107" s="157">
        <v>45748</v>
      </c>
      <c r="AA107" s="157">
        <v>45748</v>
      </c>
      <c r="AB107" s="157">
        <v>46843</v>
      </c>
      <c r="AC107" s="153" t="s">
        <v>890</v>
      </c>
      <c r="AD107" s="153" t="s">
        <v>852</v>
      </c>
      <c r="AE107" s="158"/>
      <c r="AF107" s="158"/>
      <c r="AG107" s="158"/>
      <c r="AH107" s="158"/>
      <c r="AI107" s="159"/>
    </row>
    <row r="108" spans="1:35" ht="15" x14ac:dyDescent="0.2">
      <c r="A108" s="137"/>
      <c r="B108" s="152"/>
      <c r="C108" s="153" t="s">
        <v>197</v>
      </c>
      <c r="D108" s="152" t="s">
        <v>669</v>
      </c>
      <c r="E108" s="165" t="s">
        <v>817</v>
      </c>
      <c r="F108" s="160" t="s">
        <v>1198</v>
      </c>
      <c r="G108" s="153" t="s">
        <v>818</v>
      </c>
      <c r="H108" s="152" t="s">
        <v>522</v>
      </c>
      <c r="I108" s="152"/>
      <c r="J108" s="157">
        <v>45748</v>
      </c>
      <c r="K108" s="157">
        <v>46843</v>
      </c>
      <c r="L108" s="139">
        <f t="shared" ca="1" si="2"/>
        <v>681</v>
      </c>
      <c r="M108" s="157">
        <v>45748</v>
      </c>
      <c r="N108" s="153"/>
      <c r="O108" s="153"/>
      <c r="P108" s="153" t="s">
        <v>197</v>
      </c>
      <c r="Q108" s="153"/>
      <c r="R108" s="154" t="s">
        <v>501</v>
      </c>
      <c r="S108" s="153" t="s">
        <v>371</v>
      </c>
      <c r="T108" s="153"/>
      <c r="U108" s="153"/>
      <c r="V108" s="165" t="s">
        <v>817</v>
      </c>
      <c r="W108" s="153" t="s">
        <v>818</v>
      </c>
      <c r="X108" s="153" t="s">
        <v>1001</v>
      </c>
      <c r="Y108" s="153" t="s">
        <v>877</v>
      </c>
      <c r="Z108" s="157">
        <v>45748</v>
      </c>
      <c r="AA108" s="157">
        <v>45748</v>
      </c>
      <c r="AB108" s="157">
        <v>46843</v>
      </c>
      <c r="AC108" s="153" t="s">
        <v>1002</v>
      </c>
      <c r="AD108" s="153" t="s">
        <v>852</v>
      </c>
      <c r="AE108" s="158"/>
      <c r="AF108" s="158"/>
      <c r="AG108" s="158"/>
      <c r="AH108" s="158"/>
      <c r="AI108" s="159"/>
    </row>
    <row r="109" spans="1:35" ht="15" x14ac:dyDescent="0.2">
      <c r="A109" s="137"/>
      <c r="B109" s="152"/>
      <c r="C109" s="153" t="s">
        <v>197</v>
      </c>
      <c r="D109" s="152" t="s">
        <v>669</v>
      </c>
      <c r="E109" s="165" t="s">
        <v>766</v>
      </c>
      <c r="F109" s="160" t="s">
        <v>766</v>
      </c>
      <c r="G109" s="153" t="s">
        <v>819</v>
      </c>
      <c r="H109" s="152" t="s">
        <v>522</v>
      </c>
      <c r="I109" s="152" t="s">
        <v>668</v>
      </c>
      <c r="J109" s="157">
        <v>45748</v>
      </c>
      <c r="K109" s="157">
        <v>46843</v>
      </c>
      <c r="L109" s="139">
        <f t="shared" ca="1" si="2"/>
        <v>681</v>
      </c>
      <c r="M109" s="157">
        <v>45748</v>
      </c>
      <c r="N109" s="153"/>
      <c r="O109" s="153"/>
      <c r="P109" s="165" t="s">
        <v>766</v>
      </c>
      <c r="Q109" s="153"/>
      <c r="R109" s="154" t="s">
        <v>501</v>
      </c>
      <c r="S109" s="153" t="s">
        <v>371</v>
      </c>
      <c r="T109" s="153"/>
      <c r="U109" s="153"/>
      <c r="V109" s="165" t="s">
        <v>766</v>
      </c>
      <c r="W109" s="153" t="s">
        <v>819</v>
      </c>
      <c r="X109" s="153" t="s">
        <v>1003</v>
      </c>
      <c r="Y109" s="153" t="s">
        <v>877</v>
      </c>
      <c r="Z109" s="157">
        <v>45748</v>
      </c>
      <c r="AA109" s="157">
        <v>45748</v>
      </c>
      <c r="AB109" s="157">
        <v>46843</v>
      </c>
      <c r="AC109" s="153" t="s">
        <v>963</v>
      </c>
      <c r="AD109" s="153" t="s">
        <v>852</v>
      </c>
      <c r="AE109" s="158"/>
      <c r="AF109" s="158"/>
      <c r="AG109" s="158"/>
      <c r="AH109" s="158"/>
      <c r="AI109" s="159"/>
    </row>
    <row r="110" spans="1:35" ht="15" x14ac:dyDescent="0.2">
      <c r="A110" s="137"/>
      <c r="B110" s="152"/>
      <c r="C110" s="153" t="s">
        <v>197</v>
      </c>
      <c r="D110" s="152" t="s">
        <v>669</v>
      </c>
      <c r="E110" s="165" t="s">
        <v>820</v>
      </c>
      <c r="F110" s="160" t="s">
        <v>820</v>
      </c>
      <c r="G110" s="153" t="s">
        <v>821</v>
      </c>
      <c r="H110" s="152" t="s">
        <v>522</v>
      </c>
      <c r="I110" s="152"/>
      <c r="J110" s="157">
        <v>45748</v>
      </c>
      <c r="K110" s="157">
        <v>46843</v>
      </c>
      <c r="L110" s="139">
        <f t="shared" ca="1" si="2"/>
        <v>681</v>
      </c>
      <c r="M110" s="157">
        <v>45748</v>
      </c>
      <c r="N110" s="153"/>
      <c r="O110" s="153"/>
      <c r="P110" s="165" t="s">
        <v>820</v>
      </c>
      <c r="Q110" s="153"/>
      <c r="R110" s="154" t="s">
        <v>501</v>
      </c>
      <c r="S110" s="153" t="s">
        <v>371</v>
      </c>
      <c r="T110" s="153"/>
      <c r="U110" s="153"/>
      <c r="V110" s="165" t="s">
        <v>820</v>
      </c>
      <c r="W110" s="153" t="s">
        <v>821</v>
      </c>
      <c r="X110" s="153" t="s">
        <v>1004</v>
      </c>
      <c r="Y110" s="153" t="s">
        <v>877</v>
      </c>
      <c r="Z110" s="157">
        <v>45748</v>
      </c>
      <c r="AA110" s="157">
        <v>45748</v>
      </c>
      <c r="AB110" s="157">
        <v>46843</v>
      </c>
      <c r="AC110" s="153" t="s">
        <v>1005</v>
      </c>
      <c r="AD110" s="153" t="s">
        <v>852</v>
      </c>
      <c r="AE110" s="158"/>
      <c r="AF110" s="158"/>
      <c r="AG110" s="158"/>
      <c r="AH110" s="158"/>
      <c r="AI110" s="159"/>
    </row>
    <row r="111" spans="1:35" ht="15" x14ac:dyDescent="0.2">
      <c r="A111" s="137"/>
      <c r="B111" s="152"/>
      <c r="C111" s="153" t="s">
        <v>197</v>
      </c>
      <c r="D111" s="152" t="s">
        <v>669</v>
      </c>
      <c r="E111" s="165" t="s">
        <v>781</v>
      </c>
      <c r="F111" s="160" t="s">
        <v>1199</v>
      </c>
      <c r="G111" s="153" t="s">
        <v>782</v>
      </c>
      <c r="H111" s="152" t="s">
        <v>522</v>
      </c>
      <c r="I111" s="152"/>
      <c r="J111" s="157">
        <v>45748</v>
      </c>
      <c r="K111" s="157">
        <v>46843</v>
      </c>
      <c r="L111" s="139">
        <f t="shared" ca="1" si="2"/>
        <v>681</v>
      </c>
      <c r="M111" s="157">
        <v>45748</v>
      </c>
      <c r="N111" s="153"/>
      <c r="O111" s="153"/>
      <c r="P111" s="165" t="s">
        <v>781</v>
      </c>
      <c r="Q111" s="153"/>
      <c r="R111" s="154" t="s">
        <v>501</v>
      </c>
      <c r="S111" s="153" t="s">
        <v>371</v>
      </c>
      <c r="T111" s="153"/>
      <c r="U111" s="153"/>
      <c r="V111" s="165" t="s">
        <v>781</v>
      </c>
      <c r="W111" s="153" t="s">
        <v>782</v>
      </c>
      <c r="X111" s="153" t="s">
        <v>1006</v>
      </c>
      <c r="Y111" s="153" t="s">
        <v>877</v>
      </c>
      <c r="Z111" s="157">
        <v>45748</v>
      </c>
      <c r="AA111" s="157">
        <v>45748</v>
      </c>
      <c r="AB111" s="157">
        <v>46843</v>
      </c>
      <c r="AC111" s="153" t="s">
        <v>1007</v>
      </c>
      <c r="AD111" s="153" t="s">
        <v>852</v>
      </c>
      <c r="AE111" s="158"/>
      <c r="AF111" s="158"/>
      <c r="AG111" s="158"/>
      <c r="AH111" s="158"/>
      <c r="AI111" s="159"/>
    </row>
    <row r="112" spans="1:35" ht="15" x14ac:dyDescent="0.2">
      <c r="A112" s="137"/>
      <c r="B112" s="152"/>
      <c r="C112" s="153" t="s">
        <v>197</v>
      </c>
      <c r="D112" s="152" t="s">
        <v>669</v>
      </c>
      <c r="E112" s="165" t="s">
        <v>822</v>
      </c>
      <c r="F112" s="160" t="s">
        <v>1200</v>
      </c>
      <c r="G112" s="153" t="s">
        <v>823</v>
      </c>
      <c r="H112" s="152" t="s">
        <v>522</v>
      </c>
      <c r="I112" s="152"/>
      <c r="J112" s="157">
        <v>45748</v>
      </c>
      <c r="K112" s="157">
        <v>46843</v>
      </c>
      <c r="L112" s="139">
        <f t="shared" ca="1" si="2"/>
        <v>681</v>
      </c>
      <c r="M112" s="157">
        <v>45748</v>
      </c>
      <c r="N112" s="153"/>
      <c r="O112" s="153"/>
      <c r="P112" s="165" t="s">
        <v>822</v>
      </c>
      <c r="Q112" s="153"/>
      <c r="R112" s="154" t="s">
        <v>501</v>
      </c>
      <c r="S112" s="153" t="s">
        <v>371</v>
      </c>
      <c r="T112" s="153"/>
      <c r="U112" s="153"/>
      <c r="V112" s="165" t="s">
        <v>822</v>
      </c>
      <c r="W112" s="153" t="s">
        <v>823</v>
      </c>
      <c r="X112" s="153" t="s">
        <v>1008</v>
      </c>
      <c r="Y112" s="153" t="s">
        <v>877</v>
      </c>
      <c r="Z112" s="157">
        <v>45748</v>
      </c>
      <c r="AA112" s="157">
        <v>45748</v>
      </c>
      <c r="AB112" s="157">
        <v>46843</v>
      </c>
      <c r="AC112" s="153" t="s">
        <v>1009</v>
      </c>
      <c r="AD112" s="153" t="s">
        <v>852</v>
      </c>
      <c r="AE112" s="158"/>
      <c r="AF112" s="158"/>
      <c r="AG112" s="158"/>
      <c r="AH112" s="158"/>
      <c r="AI112" s="159"/>
    </row>
    <row r="113" spans="1:35" ht="17.25" customHeight="1" x14ac:dyDescent="0.2">
      <c r="A113" s="137"/>
      <c r="B113" s="152"/>
      <c r="C113" s="153" t="s">
        <v>197</v>
      </c>
      <c r="D113" s="152" t="s">
        <v>669</v>
      </c>
      <c r="E113" s="165" t="s">
        <v>828</v>
      </c>
      <c r="F113" s="160" t="s">
        <v>828</v>
      </c>
      <c r="G113" s="153" t="s">
        <v>829</v>
      </c>
      <c r="H113" s="152" t="s">
        <v>522</v>
      </c>
      <c r="I113" s="152"/>
      <c r="J113" s="157">
        <v>45911</v>
      </c>
      <c r="K113" s="157">
        <v>46843</v>
      </c>
      <c r="L113" s="139">
        <f t="shared" ca="1" si="2"/>
        <v>681</v>
      </c>
      <c r="M113" s="157">
        <v>45748</v>
      </c>
      <c r="N113" s="153"/>
      <c r="O113" s="153"/>
      <c r="P113" s="165" t="s">
        <v>828</v>
      </c>
      <c r="Q113" s="153"/>
      <c r="R113" s="154" t="s">
        <v>501</v>
      </c>
      <c r="S113" s="153"/>
      <c r="T113" s="153"/>
      <c r="U113" s="153"/>
      <c r="V113" s="165" t="s">
        <v>828</v>
      </c>
      <c r="W113" s="153" t="s">
        <v>829</v>
      </c>
      <c r="X113" s="153" t="s">
        <v>1086</v>
      </c>
      <c r="Y113" s="153" t="s">
        <v>877</v>
      </c>
      <c r="Z113" s="157">
        <v>45911</v>
      </c>
      <c r="AA113" s="157">
        <v>45748</v>
      </c>
      <c r="AB113" s="157">
        <v>46843</v>
      </c>
      <c r="AC113" s="153" t="s">
        <v>1087</v>
      </c>
      <c r="AD113" s="153" t="s">
        <v>852</v>
      </c>
      <c r="AE113" s="158"/>
      <c r="AF113" s="158"/>
      <c r="AG113" s="158"/>
      <c r="AH113" s="158"/>
      <c r="AI113" s="159"/>
    </row>
    <row r="114" spans="1:35" ht="19.5" customHeight="1" x14ac:dyDescent="0.2">
      <c r="A114" s="137"/>
      <c r="B114" s="152"/>
      <c r="C114" s="153" t="s">
        <v>197</v>
      </c>
      <c r="D114" s="152" t="s">
        <v>669</v>
      </c>
      <c r="E114" s="165" t="s">
        <v>830</v>
      </c>
      <c r="F114" s="160" t="s">
        <v>830</v>
      </c>
      <c r="G114" s="153" t="s">
        <v>832</v>
      </c>
      <c r="H114" s="152" t="s">
        <v>522</v>
      </c>
      <c r="I114" s="152"/>
      <c r="J114" s="157">
        <v>45911</v>
      </c>
      <c r="K114" s="157">
        <v>46973</v>
      </c>
      <c r="L114" s="139">
        <f t="shared" ca="1" si="2"/>
        <v>811</v>
      </c>
      <c r="M114" s="157">
        <v>45878</v>
      </c>
      <c r="N114" s="153"/>
      <c r="O114" s="153"/>
      <c r="P114" s="165" t="s">
        <v>830</v>
      </c>
      <c r="Q114" s="153"/>
      <c r="R114" s="154" t="s">
        <v>1233</v>
      </c>
      <c r="S114" s="153"/>
      <c r="T114" s="153"/>
      <c r="U114" s="153"/>
      <c r="V114" s="153"/>
      <c r="W114" s="153"/>
      <c r="X114" s="153"/>
      <c r="Y114" s="153"/>
      <c r="Z114" s="153"/>
      <c r="AA114" s="153"/>
      <c r="AB114" s="153"/>
      <c r="AC114" s="153"/>
      <c r="AD114" s="153"/>
      <c r="AE114" s="158"/>
      <c r="AF114" s="158"/>
      <c r="AG114" s="158"/>
      <c r="AH114" s="158"/>
      <c r="AI114" s="159"/>
    </row>
    <row r="115" spans="1:35" ht="15" customHeight="1" x14ac:dyDescent="0.2">
      <c r="A115" s="137"/>
      <c r="B115" s="152"/>
      <c r="C115" s="153" t="s">
        <v>197</v>
      </c>
      <c r="D115" s="152" t="s">
        <v>669</v>
      </c>
      <c r="E115" s="165" t="s">
        <v>831</v>
      </c>
      <c r="F115" s="160" t="s">
        <v>831</v>
      </c>
      <c r="G115" s="153" t="s">
        <v>833</v>
      </c>
      <c r="H115" s="152" t="s">
        <v>522</v>
      </c>
      <c r="I115" s="152"/>
      <c r="J115" s="157">
        <v>45911</v>
      </c>
      <c r="K115" s="157">
        <v>47006</v>
      </c>
      <c r="L115" s="139">
        <f t="shared" ca="1" si="2"/>
        <v>844</v>
      </c>
      <c r="M115" s="157">
        <v>45911</v>
      </c>
      <c r="N115" s="153"/>
      <c r="O115" s="153"/>
      <c r="P115" s="165" t="s">
        <v>831</v>
      </c>
      <c r="Q115" s="153"/>
      <c r="R115" s="154" t="s">
        <v>834</v>
      </c>
      <c r="S115" s="153"/>
      <c r="T115" s="153"/>
      <c r="U115" s="153"/>
      <c r="V115" s="165" t="s">
        <v>831</v>
      </c>
      <c r="W115" s="153" t="s">
        <v>833</v>
      </c>
      <c r="X115" s="153" t="s">
        <v>897</v>
      </c>
      <c r="Y115" s="153" t="s">
        <v>877</v>
      </c>
      <c r="Z115" s="157">
        <v>45911</v>
      </c>
      <c r="AA115" s="157">
        <v>45911</v>
      </c>
      <c r="AB115" s="157">
        <v>47006</v>
      </c>
      <c r="AC115" s="153" t="s">
        <v>898</v>
      </c>
      <c r="AD115" s="153" t="s">
        <v>852</v>
      </c>
      <c r="AE115" s="158"/>
      <c r="AF115" s="158"/>
      <c r="AG115" s="158"/>
      <c r="AH115" s="158"/>
      <c r="AI115" s="159"/>
    </row>
    <row r="116" spans="1:35" ht="15" x14ac:dyDescent="0.25">
      <c r="A116" s="137"/>
      <c r="B116" s="168"/>
      <c r="C116" s="153" t="s">
        <v>197</v>
      </c>
      <c r="D116" s="152" t="s">
        <v>679</v>
      </c>
      <c r="E116" s="169" t="s">
        <v>350</v>
      </c>
      <c r="F116" s="160" t="s">
        <v>1201</v>
      </c>
      <c r="G116" s="165" t="s">
        <v>843</v>
      </c>
      <c r="H116" s="152" t="s">
        <v>522</v>
      </c>
      <c r="I116" s="152"/>
      <c r="J116" s="157">
        <v>45491</v>
      </c>
      <c r="K116" s="157">
        <v>46219</v>
      </c>
      <c r="L116" s="139">
        <f t="shared" ref="L116:L145" ca="1" si="3">K116-TODAY()</f>
        <v>57</v>
      </c>
      <c r="M116" s="157">
        <v>45412</v>
      </c>
      <c r="N116" s="153"/>
      <c r="O116" s="153"/>
      <c r="P116" s="153" t="s">
        <v>165</v>
      </c>
      <c r="Q116" s="153"/>
      <c r="R116" s="153" t="s">
        <v>501</v>
      </c>
      <c r="S116" s="153"/>
      <c r="T116" s="153"/>
      <c r="U116" s="153"/>
      <c r="V116" s="153" t="s">
        <v>165</v>
      </c>
      <c r="W116" s="165" t="s">
        <v>843</v>
      </c>
      <c r="X116" s="153" t="s">
        <v>844</v>
      </c>
      <c r="Y116" s="153" t="s">
        <v>845</v>
      </c>
      <c r="Z116" s="157">
        <v>45491</v>
      </c>
      <c r="AA116" s="157">
        <v>45491</v>
      </c>
      <c r="AB116" s="157">
        <v>46221</v>
      </c>
      <c r="AC116" s="153" t="s">
        <v>846</v>
      </c>
      <c r="AD116" s="153" t="s">
        <v>847</v>
      </c>
      <c r="AE116" s="158"/>
      <c r="AF116" s="158"/>
      <c r="AG116" s="158"/>
      <c r="AH116" s="158"/>
      <c r="AI116" s="159"/>
    </row>
    <row r="117" spans="1:35" ht="15" x14ac:dyDescent="0.2">
      <c r="A117" s="137"/>
      <c r="B117" s="152"/>
      <c r="C117" s="153" t="s">
        <v>197</v>
      </c>
      <c r="D117" s="152" t="s">
        <v>679</v>
      </c>
      <c r="E117" s="165" t="s">
        <v>723</v>
      </c>
      <c r="F117" s="160" t="s">
        <v>1202</v>
      </c>
      <c r="G117" s="153" t="s">
        <v>853</v>
      </c>
      <c r="H117" s="152" t="s">
        <v>522</v>
      </c>
      <c r="I117" s="152"/>
      <c r="J117" s="157">
        <v>45757</v>
      </c>
      <c r="K117" s="157">
        <v>46122</v>
      </c>
      <c r="L117" s="139">
        <f t="shared" ca="1" si="3"/>
        <v>-40</v>
      </c>
      <c r="M117" s="157">
        <v>45392</v>
      </c>
      <c r="N117" s="153"/>
      <c r="O117" s="153"/>
      <c r="P117" s="165" t="s">
        <v>723</v>
      </c>
      <c r="Q117" s="153"/>
      <c r="R117" s="153" t="s">
        <v>501</v>
      </c>
      <c r="S117" s="153"/>
      <c r="T117" s="153"/>
      <c r="U117" s="153"/>
      <c r="V117" s="165" t="s">
        <v>723</v>
      </c>
      <c r="W117" s="153" t="s">
        <v>853</v>
      </c>
      <c r="X117" s="153" t="s">
        <v>854</v>
      </c>
      <c r="Y117" s="153" t="s">
        <v>845</v>
      </c>
      <c r="Z117" s="157">
        <v>45757</v>
      </c>
      <c r="AA117" s="157">
        <v>45757</v>
      </c>
      <c r="AB117" s="157">
        <v>46122</v>
      </c>
      <c r="AC117" s="153" t="s">
        <v>855</v>
      </c>
      <c r="AD117" s="153" t="s">
        <v>856</v>
      </c>
      <c r="AE117" s="158"/>
      <c r="AF117" s="158"/>
      <c r="AG117" s="158"/>
      <c r="AH117" s="158"/>
      <c r="AI117" s="159"/>
    </row>
    <row r="118" spans="1:35" ht="15" x14ac:dyDescent="0.2">
      <c r="A118" s="137"/>
      <c r="B118" s="152"/>
      <c r="C118" s="153" t="s">
        <v>197</v>
      </c>
      <c r="D118" s="153" t="s">
        <v>1236</v>
      </c>
      <c r="E118" s="165" t="s">
        <v>858</v>
      </c>
      <c r="F118" s="160" t="s">
        <v>1203</v>
      </c>
      <c r="G118" s="153" t="s">
        <v>857</v>
      </c>
      <c r="H118" s="152" t="s">
        <v>522</v>
      </c>
      <c r="I118" s="152"/>
      <c r="J118" s="157">
        <v>45369</v>
      </c>
      <c r="K118" s="157">
        <v>46066</v>
      </c>
      <c r="L118" s="139">
        <f t="shared" ca="1" si="3"/>
        <v>-96</v>
      </c>
      <c r="M118" s="157">
        <v>45702</v>
      </c>
      <c r="N118" s="153"/>
      <c r="O118" s="153"/>
      <c r="P118" s="165" t="s">
        <v>858</v>
      </c>
      <c r="Q118" s="153"/>
      <c r="R118" s="153" t="s">
        <v>1236</v>
      </c>
      <c r="S118" s="153"/>
      <c r="T118" s="153"/>
      <c r="U118" s="153"/>
      <c r="V118" s="165" t="s">
        <v>858</v>
      </c>
      <c r="W118" s="153" t="s">
        <v>857</v>
      </c>
      <c r="X118" s="153"/>
      <c r="Y118" s="153" t="s">
        <v>859</v>
      </c>
      <c r="Z118" s="157">
        <v>45369</v>
      </c>
      <c r="AA118" s="157">
        <v>45702</v>
      </c>
      <c r="AB118" s="157">
        <v>46066</v>
      </c>
      <c r="AC118" s="153" t="s">
        <v>1088</v>
      </c>
      <c r="AD118" s="153"/>
      <c r="AE118" s="158"/>
      <c r="AF118" s="158"/>
      <c r="AG118" s="158"/>
      <c r="AH118" s="158"/>
      <c r="AI118" s="159"/>
    </row>
    <row r="119" spans="1:35" ht="15" x14ac:dyDescent="0.2">
      <c r="A119" s="137"/>
      <c r="B119" s="152"/>
      <c r="C119" s="153" t="s">
        <v>197</v>
      </c>
      <c r="D119" s="153"/>
      <c r="E119" s="165" t="s">
        <v>860</v>
      </c>
      <c r="F119" s="160" t="s">
        <v>1204</v>
      </c>
      <c r="G119" s="153" t="s">
        <v>861</v>
      </c>
      <c r="H119" s="152" t="s">
        <v>522</v>
      </c>
      <c r="I119" s="152"/>
      <c r="J119" s="157">
        <v>45231</v>
      </c>
      <c r="K119" s="157">
        <v>46112</v>
      </c>
      <c r="L119" s="139">
        <f t="shared" ca="1" si="3"/>
        <v>-50</v>
      </c>
      <c r="M119" s="157">
        <v>45231</v>
      </c>
      <c r="N119" s="153"/>
      <c r="O119" s="153"/>
      <c r="P119" s="165" t="s">
        <v>860</v>
      </c>
      <c r="Q119" s="153"/>
      <c r="R119" s="153" t="s">
        <v>501</v>
      </c>
      <c r="S119" s="153"/>
      <c r="T119" s="153"/>
      <c r="U119" s="153"/>
      <c r="V119" s="165" t="s">
        <v>860</v>
      </c>
      <c r="W119" s="153" t="s">
        <v>861</v>
      </c>
      <c r="X119" s="153" t="s">
        <v>862</v>
      </c>
      <c r="Y119" s="153" t="s">
        <v>863</v>
      </c>
      <c r="Z119" s="157">
        <v>45231</v>
      </c>
      <c r="AA119" s="157">
        <v>45231</v>
      </c>
      <c r="AB119" s="157">
        <v>46112</v>
      </c>
      <c r="AC119" s="153" t="s">
        <v>864</v>
      </c>
      <c r="AD119" s="153" t="s">
        <v>865</v>
      </c>
      <c r="AE119" s="158"/>
      <c r="AF119" s="158"/>
      <c r="AG119" s="158"/>
      <c r="AH119" s="158"/>
      <c r="AI119" s="159"/>
    </row>
    <row r="120" spans="1:35" ht="15" x14ac:dyDescent="0.2">
      <c r="A120" s="137"/>
      <c r="B120" s="152"/>
      <c r="C120" s="153" t="s">
        <v>197</v>
      </c>
      <c r="D120" s="152" t="s">
        <v>679</v>
      </c>
      <c r="E120" s="153" t="s">
        <v>642</v>
      </c>
      <c r="F120" s="160" t="s">
        <v>1159</v>
      </c>
      <c r="G120" s="153" t="s">
        <v>886</v>
      </c>
      <c r="H120" s="152" t="s">
        <v>522</v>
      </c>
      <c r="I120" s="152"/>
      <c r="J120" s="157">
        <v>45911</v>
      </c>
      <c r="K120" s="157">
        <v>46112</v>
      </c>
      <c r="L120" s="139">
        <f t="shared" ca="1" si="3"/>
        <v>-50</v>
      </c>
      <c r="M120" s="157">
        <v>45748</v>
      </c>
      <c r="N120" s="153"/>
      <c r="O120" s="153"/>
      <c r="P120" s="153" t="s">
        <v>570</v>
      </c>
      <c r="Q120" s="153"/>
      <c r="R120" s="153" t="s">
        <v>501</v>
      </c>
      <c r="S120" s="153"/>
      <c r="T120" s="153"/>
      <c r="U120" s="153"/>
      <c r="V120" s="153" t="s">
        <v>887</v>
      </c>
      <c r="W120" s="153" t="s">
        <v>866</v>
      </c>
      <c r="X120" s="153" t="s">
        <v>888</v>
      </c>
      <c r="Y120" s="153" t="s">
        <v>845</v>
      </c>
      <c r="Z120" s="157">
        <v>45911</v>
      </c>
      <c r="AA120" s="157">
        <v>45748</v>
      </c>
      <c r="AB120" s="157">
        <v>46112</v>
      </c>
      <c r="AC120" s="153" t="s">
        <v>868</v>
      </c>
      <c r="AD120" s="153" t="s">
        <v>856</v>
      </c>
      <c r="AE120" s="158"/>
      <c r="AF120" s="158"/>
      <c r="AG120" s="158"/>
      <c r="AH120" s="158"/>
      <c r="AI120" s="159"/>
    </row>
    <row r="121" spans="1:35" ht="20.25" customHeight="1" x14ac:dyDescent="0.2">
      <c r="A121" s="137"/>
      <c r="B121" s="152"/>
      <c r="C121" s="153" t="s">
        <v>197</v>
      </c>
      <c r="D121" s="153" t="s">
        <v>664</v>
      </c>
      <c r="E121" s="165" t="s">
        <v>891</v>
      </c>
      <c r="F121" s="160" t="s">
        <v>1205</v>
      </c>
      <c r="G121" s="154" t="s">
        <v>892</v>
      </c>
      <c r="H121" s="152" t="s">
        <v>522</v>
      </c>
      <c r="I121" s="152"/>
      <c r="J121" s="157">
        <v>45911</v>
      </c>
      <c r="K121" s="157">
        <v>46203</v>
      </c>
      <c r="L121" s="139">
        <f t="shared" ca="1" si="3"/>
        <v>41</v>
      </c>
      <c r="M121" s="157">
        <v>45839</v>
      </c>
      <c r="N121" s="153"/>
      <c r="O121" s="153"/>
      <c r="P121" s="165" t="s">
        <v>891</v>
      </c>
      <c r="Q121" s="153"/>
      <c r="R121" s="153" t="s">
        <v>501</v>
      </c>
      <c r="S121" s="153"/>
      <c r="T121" s="153"/>
      <c r="U121" s="153"/>
      <c r="V121" s="165" t="s">
        <v>891</v>
      </c>
      <c r="W121" s="154" t="s">
        <v>892</v>
      </c>
      <c r="X121" s="153" t="s">
        <v>893</v>
      </c>
      <c r="Y121" s="153" t="s">
        <v>894</v>
      </c>
      <c r="Z121" s="157">
        <v>45911</v>
      </c>
      <c r="AA121" s="157">
        <v>45839</v>
      </c>
      <c r="AB121" s="157">
        <v>46203</v>
      </c>
      <c r="AC121" s="153" t="s">
        <v>895</v>
      </c>
      <c r="AD121" s="153" t="s">
        <v>896</v>
      </c>
      <c r="AE121" s="158"/>
      <c r="AF121" s="158"/>
      <c r="AG121" s="158"/>
      <c r="AH121" s="158"/>
      <c r="AI121" s="159"/>
    </row>
    <row r="122" spans="1:35" ht="15" x14ac:dyDescent="0.2">
      <c r="A122" s="137"/>
      <c r="B122" s="152"/>
      <c r="C122" s="153" t="s">
        <v>197</v>
      </c>
      <c r="D122" s="153" t="s">
        <v>686</v>
      </c>
      <c r="E122" s="165" t="s">
        <v>749</v>
      </c>
      <c r="F122" s="160" t="s">
        <v>1186</v>
      </c>
      <c r="G122" s="153" t="s">
        <v>750</v>
      </c>
      <c r="H122" s="152" t="s">
        <v>522</v>
      </c>
      <c r="I122" s="152"/>
      <c r="J122" s="157">
        <v>45891</v>
      </c>
      <c r="K122" s="157">
        <v>46477</v>
      </c>
      <c r="L122" s="139">
        <f t="shared" ca="1" si="3"/>
        <v>315</v>
      </c>
      <c r="M122" s="157">
        <v>45383</v>
      </c>
      <c r="N122" s="153"/>
      <c r="O122" s="153"/>
      <c r="P122" s="165" t="s">
        <v>749</v>
      </c>
      <c r="Q122" s="153"/>
      <c r="R122" s="153" t="s">
        <v>501</v>
      </c>
      <c r="S122" s="153"/>
      <c r="T122" s="153"/>
      <c r="U122" s="153"/>
      <c r="V122" s="153" t="s">
        <v>105</v>
      </c>
      <c r="W122" s="153" t="s">
        <v>750</v>
      </c>
      <c r="X122" s="153" t="s">
        <v>906</v>
      </c>
      <c r="Y122" s="153" t="s">
        <v>907</v>
      </c>
      <c r="Z122" s="157">
        <v>45891</v>
      </c>
      <c r="AA122" s="153"/>
      <c r="AB122" s="153"/>
      <c r="AC122" s="153"/>
      <c r="AD122" s="153"/>
      <c r="AE122" s="158"/>
      <c r="AF122" s="158"/>
      <c r="AG122" s="158"/>
      <c r="AH122" s="158"/>
      <c r="AI122" s="159"/>
    </row>
    <row r="123" spans="1:35" ht="15" x14ac:dyDescent="0.2">
      <c r="A123" s="137"/>
      <c r="B123" s="152"/>
      <c r="C123" s="153" t="s">
        <v>197</v>
      </c>
      <c r="D123" s="152" t="s">
        <v>669</v>
      </c>
      <c r="E123" s="165" t="s">
        <v>763</v>
      </c>
      <c r="F123" s="160" t="s">
        <v>1049</v>
      </c>
      <c r="G123" s="153" t="s">
        <v>980</v>
      </c>
      <c r="H123" s="152" t="s">
        <v>522</v>
      </c>
      <c r="I123" s="152" t="s">
        <v>800</v>
      </c>
      <c r="J123" s="157">
        <v>45748</v>
      </c>
      <c r="K123" s="157">
        <v>46843</v>
      </c>
      <c r="L123" s="139">
        <f t="shared" ca="1" si="3"/>
        <v>681</v>
      </c>
      <c r="M123" s="157">
        <v>45748</v>
      </c>
      <c r="N123" s="153"/>
      <c r="O123" s="153"/>
      <c r="P123" s="165" t="s">
        <v>763</v>
      </c>
      <c r="Q123" s="153"/>
      <c r="R123" s="153" t="s">
        <v>501</v>
      </c>
      <c r="S123" s="153"/>
      <c r="T123" s="153"/>
      <c r="U123" s="153"/>
      <c r="V123" s="165" t="s">
        <v>763</v>
      </c>
      <c r="W123" s="153" t="s">
        <v>980</v>
      </c>
      <c r="X123" s="153" t="s">
        <v>981</v>
      </c>
      <c r="Y123" s="153" t="s">
        <v>877</v>
      </c>
      <c r="Z123" s="157">
        <v>45748</v>
      </c>
      <c r="AA123" s="157">
        <v>45748</v>
      </c>
      <c r="AB123" s="157">
        <v>46843</v>
      </c>
      <c r="AC123" s="153" t="s">
        <v>982</v>
      </c>
      <c r="AD123" s="153" t="s">
        <v>852</v>
      </c>
      <c r="AE123" s="158"/>
      <c r="AF123" s="158"/>
      <c r="AG123" s="158"/>
      <c r="AH123" s="158"/>
      <c r="AI123" s="159"/>
    </row>
    <row r="124" spans="1:35" ht="15" x14ac:dyDescent="0.2">
      <c r="A124" s="137"/>
      <c r="B124" s="152"/>
      <c r="C124" s="153" t="s">
        <v>197</v>
      </c>
      <c r="D124" s="153" t="s">
        <v>686</v>
      </c>
      <c r="E124" s="165" t="s">
        <v>749</v>
      </c>
      <c r="F124" s="160" t="s">
        <v>1186</v>
      </c>
      <c r="G124" s="153" t="s">
        <v>750</v>
      </c>
      <c r="H124" s="152" t="s">
        <v>522</v>
      </c>
      <c r="I124" s="152"/>
      <c r="J124" s="157">
        <v>45383</v>
      </c>
      <c r="K124" s="157">
        <v>46477</v>
      </c>
      <c r="L124" s="139">
        <f t="shared" ca="1" si="3"/>
        <v>315</v>
      </c>
      <c r="M124" s="157">
        <v>45383</v>
      </c>
      <c r="N124" s="153"/>
      <c r="O124" s="153"/>
      <c r="P124" s="165" t="s">
        <v>749</v>
      </c>
      <c r="Q124" s="153"/>
      <c r="R124" s="153" t="s">
        <v>501</v>
      </c>
      <c r="S124" s="153"/>
      <c r="T124" s="153"/>
      <c r="U124" s="153"/>
      <c r="V124" s="165" t="s">
        <v>749</v>
      </c>
      <c r="W124" s="153" t="s">
        <v>750</v>
      </c>
      <c r="X124" s="153" t="s">
        <v>1038</v>
      </c>
      <c r="Y124" s="153" t="s">
        <v>919</v>
      </c>
      <c r="Z124" s="157">
        <v>45383</v>
      </c>
      <c r="AA124" s="157">
        <v>45383</v>
      </c>
      <c r="AB124" s="157">
        <v>46477</v>
      </c>
      <c r="AC124" s="153" t="s">
        <v>849</v>
      </c>
      <c r="AD124" s="153" t="s">
        <v>850</v>
      </c>
      <c r="AE124" s="158"/>
      <c r="AF124" s="158"/>
      <c r="AG124" s="158"/>
      <c r="AH124" s="158"/>
      <c r="AI124" s="159"/>
    </row>
    <row r="125" spans="1:35" ht="15" x14ac:dyDescent="0.2">
      <c r="A125" s="137"/>
      <c r="B125" s="152"/>
      <c r="C125" s="153" t="s">
        <v>197</v>
      </c>
      <c r="D125" s="153" t="s">
        <v>686</v>
      </c>
      <c r="E125" s="165" t="s">
        <v>749</v>
      </c>
      <c r="F125" s="160" t="s">
        <v>1186</v>
      </c>
      <c r="G125" s="153" t="s">
        <v>750</v>
      </c>
      <c r="H125" s="152" t="s">
        <v>522</v>
      </c>
      <c r="I125" s="152"/>
      <c r="J125" s="157">
        <v>45383</v>
      </c>
      <c r="K125" s="157">
        <v>46477</v>
      </c>
      <c r="L125" s="139">
        <f t="shared" ca="1" si="3"/>
        <v>315</v>
      </c>
      <c r="M125" s="157">
        <v>45383</v>
      </c>
      <c r="N125" s="153"/>
      <c r="O125" s="153"/>
      <c r="P125" s="165" t="s">
        <v>749</v>
      </c>
      <c r="Q125" s="153"/>
      <c r="R125" s="153" t="s">
        <v>501</v>
      </c>
      <c r="S125" s="153"/>
      <c r="T125" s="153"/>
      <c r="U125" s="153"/>
      <c r="V125" s="165" t="s">
        <v>749</v>
      </c>
      <c r="W125" s="153" t="s">
        <v>750</v>
      </c>
      <c r="X125" s="153" t="s">
        <v>1039</v>
      </c>
      <c r="Y125" s="153" t="s">
        <v>919</v>
      </c>
      <c r="Z125" s="157">
        <v>45383</v>
      </c>
      <c r="AA125" s="157">
        <v>45383</v>
      </c>
      <c r="AB125" s="157">
        <v>46477</v>
      </c>
      <c r="AC125" s="153" t="s">
        <v>849</v>
      </c>
      <c r="AD125" s="153" t="s">
        <v>850</v>
      </c>
      <c r="AE125" s="158"/>
      <c r="AF125" s="158"/>
      <c r="AG125" s="158"/>
      <c r="AH125" s="158"/>
      <c r="AI125" s="159"/>
    </row>
    <row r="126" spans="1:35" ht="15" x14ac:dyDescent="0.2">
      <c r="A126" s="137"/>
      <c r="B126" s="152"/>
      <c r="C126" s="153" t="s">
        <v>197</v>
      </c>
      <c r="D126" s="153" t="s">
        <v>686</v>
      </c>
      <c r="E126" s="165" t="s">
        <v>749</v>
      </c>
      <c r="F126" s="160" t="s">
        <v>1186</v>
      </c>
      <c r="G126" s="153" t="s">
        <v>750</v>
      </c>
      <c r="H126" s="152" t="s">
        <v>522</v>
      </c>
      <c r="I126" s="152"/>
      <c r="J126" s="157">
        <v>45383</v>
      </c>
      <c r="K126" s="157">
        <v>46477</v>
      </c>
      <c r="L126" s="139">
        <f t="shared" ca="1" si="3"/>
        <v>315</v>
      </c>
      <c r="M126" s="157">
        <v>45383</v>
      </c>
      <c r="N126" s="153"/>
      <c r="O126" s="153"/>
      <c r="P126" s="165" t="s">
        <v>749</v>
      </c>
      <c r="Q126" s="153"/>
      <c r="R126" s="153" t="s">
        <v>501</v>
      </c>
      <c r="S126" s="153"/>
      <c r="T126" s="153"/>
      <c r="U126" s="153"/>
      <c r="V126" s="165" t="s">
        <v>749</v>
      </c>
      <c r="W126" s="153" t="s">
        <v>750</v>
      </c>
      <c r="X126" s="153" t="s">
        <v>1040</v>
      </c>
      <c r="Y126" s="153" t="s">
        <v>919</v>
      </c>
      <c r="Z126" s="157">
        <v>45383</v>
      </c>
      <c r="AA126" s="157">
        <v>45383</v>
      </c>
      <c r="AB126" s="157">
        <v>46477</v>
      </c>
      <c r="AC126" s="153" t="s">
        <v>849</v>
      </c>
      <c r="AD126" s="153" t="s">
        <v>850</v>
      </c>
      <c r="AE126" s="158"/>
      <c r="AF126" s="158"/>
      <c r="AG126" s="158"/>
      <c r="AH126" s="158"/>
      <c r="AI126" s="159"/>
    </row>
    <row r="127" spans="1:35" ht="15" x14ac:dyDescent="0.2">
      <c r="A127" s="137"/>
      <c r="B127" s="152"/>
      <c r="C127" s="153" t="s">
        <v>197</v>
      </c>
      <c r="D127" s="153"/>
      <c r="E127" s="165" t="s">
        <v>835</v>
      </c>
      <c r="F127" s="160" t="s">
        <v>1206</v>
      </c>
      <c r="G127" s="153" t="s">
        <v>872</v>
      </c>
      <c r="H127" s="152" t="s">
        <v>522</v>
      </c>
      <c r="I127" s="152"/>
      <c r="J127" s="157">
        <v>45931</v>
      </c>
      <c r="K127" s="157">
        <v>46295</v>
      </c>
      <c r="L127" s="139">
        <f t="shared" ca="1" si="3"/>
        <v>133</v>
      </c>
      <c r="M127" s="157">
        <v>45931</v>
      </c>
      <c r="N127" s="153"/>
      <c r="O127" s="153"/>
      <c r="P127" s="165" t="s">
        <v>835</v>
      </c>
      <c r="Q127" s="153"/>
      <c r="R127" s="153" t="s">
        <v>501</v>
      </c>
      <c r="S127" s="153"/>
      <c r="T127" s="153"/>
      <c r="U127" s="153"/>
      <c r="V127" s="165" t="s">
        <v>835</v>
      </c>
      <c r="W127" s="153" t="s">
        <v>872</v>
      </c>
      <c r="X127" s="153" t="s">
        <v>1042</v>
      </c>
      <c r="Y127" s="153" t="s">
        <v>1043</v>
      </c>
      <c r="Z127" s="157">
        <v>45931</v>
      </c>
      <c r="AA127" s="157">
        <v>45931</v>
      </c>
      <c r="AB127" s="157">
        <v>46295</v>
      </c>
      <c r="AC127" s="153" t="s">
        <v>869</v>
      </c>
      <c r="AD127" s="153" t="s">
        <v>870</v>
      </c>
      <c r="AE127" s="158"/>
      <c r="AF127" s="158"/>
      <c r="AG127" s="158"/>
      <c r="AH127" s="158"/>
      <c r="AI127" s="159"/>
    </row>
    <row r="128" spans="1:35" ht="15" x14ac:dyDescent="0.2">
      <c r="A128" s="137"/>
      <c r="B128" s="152"/>
      <c r="C128" s="153" t="s">
        <v>197</v>
      </c>
      <c r="D128" s="152" t="s">
        <v>1089</v>
      </c>
      <c r="E128" s="165" t="s">
        <v>827</v>
      </c>
      <c r="F128" s="160" t="s">
        <v>1180</v>
      </c>
      <c r="G128" s="153" t="s">
        <v>825</v>
      </c>
      <c r="H128" s="152" t="s">
        <v>522</v>
      </c>
      <c r="I128" s="152" t="s">
        <v>508</v>
      </c>
      <c r="J128" s="157">
        <v>45911</v>
      </c>
      <c r="K128" s="157">
        <v>46904</v>
      </c>
      <c r="L128" s="139">
        <f t="shared" ca="1" si="3"/>
        <v>742</v>
      </c>
      <c r="M128" s="157">
        <v>45809</v>
      </c>
      <c r="N128" s="153"/>
      <c r="O128" s="153"/>
      <c r="P128" s="165" t="s">
        <v>827</v>
      </c>
      <c r="Q128" s="153"/>
      <c r="R128" s="154" t="s">
        <v>501</v>
      </c>
      <c r="S128" s="153"/>
      <c r="T128" s="153"/>
      <c r="U128" s="153"/>
      <c r="V128" s="165" t="s">
        <v>827</v>
      </c>
      <c r="W128" s="153" t="s">
        <v>825</v>
      </c>
      <c r="X128" s="153" t="s">
        <v>1090</v>
      </c>
      <c r="Y128" s="153" t="s">
        <v>845</v>
      </c>
      <c r="Z128" s="157">
        <v>45911</v>
      </c>
      <c r="AA128" s="157">
        <v>45809</v>
      </c>
      <c r="AB128" s="157">
        <v>46904</v>
      </c>
      <c r="AC128" s="153" t="s">
        <v>1091</v>
      </c>
      <c r="AD128" s="153" t="s">
        <v>1092</v>
      </c>
      <c r="AE128" s="158"/>
      <c r="AF128" s="158"/>
      <c r="AG128" s="158"/>
      <c r="AH128" s="158"/>
      <c r="AI128" s="159"/>
    </row>
    <row r="129" spans="1:35" ht="15" x14ac:dyDescent="0.2">
      <c r="A129" s="137"/>
      <c r="B129" s="152"/>
      <c r="C129" s="153" t="s">
        <v>197</v>
      </c>
      <c r="D129" s="153" t="s">
        <v>662</v>
      </c>
      <c r="E129" s="165" t="s">
        <v>1054</v>
      </c>
      <c r="F129" s="160" t="s">
        <v>1054</v>
      </c>
      <c r="G129" s="153" t="s">
        <v>1093</v>
      </c>
      <c r="H129" s="152" t="s">
        <v>522</v>
      </c>
      <c r="I129" s="152"/>
      <c r="J129" s="157">
        <v>45973</v>
      </c>
      <c r="K129" s="157">
        <v>46337</v>
      </c>
      <c r="L129" s="139">
        <f t="shared" ca="1" si="3"/>
        <v>175</v>
      </c>
      <c r="M129" s="157">
        <v>45973</v>
      </c>
      <c r="N129" s="153"/>
      <c r="O129" s="153"/>
      <c r="P129" s="165" t="s">
        <v>1054</v>
      </c>
      <c r="Q129" s="153"/>
      <c r="R129" s="153" t="s">
        <v>501</v>
      </c>
      <c r="S129" s="153"/>
      <c r="T129" s="153"/>
      <c r="U129" s="153"/>
      <c r="V129" s="165" t="s">
        <v>1054</v>
      </c>
      <c r="W129" s="153" t="s">
        <v>1093</v>
      </c>
      <c r="X129" s="153" t="s">
        <v>1094</v>
      </c>
      <c r="Y129" s="153" t="s">
        <v>845</v>
      </c>
      <c r="Z129" s="157">
        <v>45973</v>
      </c>
      <c r="AA129" s="157">
        <v>45973</v>
      </c>
      <c r="AB129" s="157">
        <v>46337</v>
      </c>
      <c r="AC129" s="153" t="s">
        <v>1095</v>
      </c>
      <c r="AD129" s="153" t="s">
        <v>852</v>
      </c>
      <c r="AE129" s="158"/>
      <c r="AF129" s="158"/>
      <c r="AG129" s="158"/>
      <c r="AH129" s="158"/>
      <c r="AI129" s="159"/>
    </row>
    <row r="130" spans="1:35" ht="15" x14ac:dyDescent="0.2">
      <c r="A130" s="137"/>
      <c r="B130" s="138"/>
      <c r="C130" s="140" t="s">
        <v>197</v>
      </c>
      <c r="D130" s="140"/>
      <c r="E130" s="141" t="s">
        <v>775</v>
      </c>
      <c r="F130" s="141" t="s">
        <v>1273</v>
      </c>
      <c r="G130" s="140" t="s">
        <v>776</v>
      </c>
      <c r="H130" s="138" t="s">
        <v>522</v>
      </c>
      <c r="I130" s="138"/>
      <c r="J130" s="146">
        <v>46049</v>
      </c>
      <c r="K130" s="146">
        <v>47144</v>
      </c>
      <c r="L130" s="139">
        <f t="shared" ca="1" si="3"/>
        <v>982</v>
      </c>
      <c r="M130" s="146">
        <v>46049</v>
      </c>
      <c r="N130" s="140"/>
      <c r="O130" s="140"/>
      <c r="P130" s="141" t="s">
        <v>775</v>
      </c>
      <c r="Q130" s="140"/>
      <c r="R130" s="142" t="s">
        <v>157</v>
      </c>
      <c r="S130" s="140" t="s">
        <v>371</v>
      </c>
      <c r="T130" s="140"/>
      <c r="U130" s="140"/>
      <c r="V130" s="141" t="s">
        <v>775</v>
      </c>
      <c r="W130" s="140" t="s">
        <v>776</v>
      </c>
      <c r="X130" s="140" t="s">
        <v>1274</v>
      </c>
      <c r="Y130" s="140" t="s">
        <v>877</v>
      </c>
      <c r="Z130" s="146">
        <v>46049</v>
      </c>
      <c r="AA130" s="146">
        <v>46049</v>
      </c>
      <c r="AB130" s="146">
        <v>47144</v>
      </c>
      <c r="AC130" s="140" t="s">
        <v>1275</v>
      </c>
      <c r="AD130" s="140" t="s">
        <v>852</v>
      </c>
      <c r="AI130" s="133"/>
    </row>
    <row r="131" spans="1:35" ht="15" x14ac:dyDescent="0.2">
      <c r="A131" s="137"/>
      <c r="B131" s="184"/>
      <c r="C131" s="185" t="s">
        <v>197</v>
      </c>
      <c r="D131" s="184" t="s">
        <v>669</v>
      </c>
      <c r="E131" s="186" t="s">
        <v>784</v>
      </c>
      <c r="F131" s="187" t="s">
        <v>784</v>
      </c>
      <c r="G131" s="185" t="s">
        <v>782</v>
      </c>
      <c r="H131" s="184" t="s">
        <v>522</v>
      </c>
      <c r="I131" s="184"/>
      <c r="J131" s="188">
        <v>45973</v>
      </c>
      <c r="K131" s="188">
        <v>47068</v>
      </c>
      <c r="L131" s="189">
        <f t="shared" ca="1" si="3"/>
        <v>906</v>
      </c>
      <c r="M131" s="188">
        <v>45973</v>
      </c>
      <c r="N131" s="185"/>
      <c r="O131" s="185"/>
      <c r="P131" s="186" t="s">
        <v>784</v>
      </c>
      <c r="Q131" s="185"/>
      <c r="R131" s="190" t="s">
        <v>157</v>
      </c>
      <c r="S131" s="185"/>
      <c r="T131" s="185"/>
      <c r="U131" s="185"/>
      <c r="V131" s="186" t="s">
        <v>784</v>
      </c>
      <c r="W131" s="185" t="s">
        <v>782</v>
      </c>
      <c r="X131" s="185" t="s">
        <v>1096</v>
      </c>
      <c r="Y131" s="185" t="s">
        <v>877</v>
      </c>
      <c r="Z131" s="188">
        <v>45973</v>
      </c>
      <c r="AA131" s="188">
        <v>45973</v>
      </c>
      <c r="AB131" s="188">
        <v>47068</v>
      </c>
      <c r="AC131" s="185" t="s">
        <v>1097</v>
      </c>
      <c r="AD131" s="185" t="s">
        <v>852</v>
      </c>
      <c r="AE131" s="8"/>
      <c r="AF131" s="8"/>
      <c r="AG131" s="8"/>
      <c r="AH131" s="8"/>
      <c r="AI131" s="191"/>
    </row>
    <row r="132" spans="1:35" ht="15" x14ac:dyDescent="0.2">
      <c r="A132" s="137"/>
      <c r="B132" s="152"/>
      <c r="C132" s="153" t="s">
        <v>197</v>
      </c>
      <c r="D132" s="152" t="s">
        <v>669</v>
      </c>
      <c r="E132" s="165" t="s">
        <v>1098</v>
      </c>
      <c r="F132" s="160" t="s">
        <v>1098</v>
      </c>
      <c r="G132" s="153" t="s">
        <v>1099</v>
      </c>
      <c r="H132" s="152" t="s">
        <v>522</v>
      </c>
      <c r="I132" s="152"/>
      <c r="J132" s="157">
        <v>45973</v>
      </c>
      <c r="K132" s="157">
        <v>47068</v>
      </c>
      <c r="L132" s="139">
        <f t="shared" ca="1" si="3"/>
        <v>906</v>
      </c>
      <c r="M132" s="157">
        <v>45973</v>
      </c>
      <c r="N132" s="153"/>
      <c r="O132" s="153"/>
      <c r="P132" s="165" t="s">
        <v>1098</v>
      </c>
      <c r="Q132" s="153"/>
      <c r="R132" s="153" t="s">
        <v>501</v>
      </c>
      <c r="S132" s="153" t="s">
        <v>371</v>
      </c>
      <c r="T132" s="153"/>
      <c r="U132" s="153"/>
      <c r="V132" s="165" t="s">
        <v>1098</v>
      </c>
      <c r="W132" s="153" t="s">
        <v>1099</v>
      </c>
      <c r="X132" s="153" t="s">
        <v>1100</v>
      </c>
      <c r="Y132" s="153" t="s">
        <v>877</v>
      </c>
      <c r="Z132" s="157">
        <v>45973</v>
      </c>
      <c r="AA132" s="157">
        <v>45973</v>
      </c>
      <c r="AB132" s="157">
        <v>47068</v>
      </c>
      <c r="AC132" s="153" t="s">
        <v>1101</v>
      </c>
      <c r="AD132" s="153" t="s">
        <v>852</v>
      </c>
      <c r="AE132" s="158"/>
      <c r="AF132" s="158"/>
      <c r="AG132" s="158"/>
      <c r="AH132" s="158"/>
      <c r="AI132" s="159"/>
    </row>
    <row r="133" spans="1:35" ht="15" x14ac:dyDescent="0.2">
      <c r="A133" s="137"/>
      <c r="B133" s="152"/>
      <c r="C133" s="153" t="s">
        <v>197</v>
      </c>
      <c r="D133" s="152" t="s">
        <v>669</v>
      </c>
      <c r="E133" s="165" t="s">
        <v>1102</v>
      </c>
      <c r="F133" s="160" t="s">
        <v>1102</v>
      </c>
      <c r="G133" s="153" t="s">
        <v>1103</v>
      </c>
      <c r="H133" s="152" t="s">
        <v>522</v>
      </c>
      <c r="I133" s="152"/>
      <c r="J133" s="157">
        <v>45973</v>
      </c>
      <c r="K133" s="157">
        <v>47068</v>
      </c>
      <c r="L133" s="139">
        <f t="shared" ca="1" si="3"/>
        <v>906</v>
      </c>
      <c r="M133" s="157">
        <v>45973</v>
      </c>
      <c r="N133" s="153"/>
      <c r="O133" s="153"/>
      <c r="P133" s="165" t="s">
        <v>1102</v>
      </c>
      <c r="Q133" s="153"/>
      <c r="R133" s="154" t="s">
        <v>1237</v>
      </c>
      <c r="S133" s="153"/>
      <c r="T133" s="153"/>
      <c r="U133" s="153"/>
      <c r="V133" s="165" t="s">
        <v>1102</v>
      </c>
      <c r="W133" s="153" t="s">
        <v>1103</v>
      </c>
      <c r="X133" s="153" t="s">
        <v>1104</v>
      </c>
      <c r="Y133" s="153" t="s">
        <v>877</v>
      </c>
      <c r="Z133" s="157">
        <v>45973</v>
      </c>
      <c r="AA133" s="157">
        <v>45973</v>
      </c>
      <c r="AB133" s="157">
        <v>47068</v>
      </c>
      <c r="AC133" s="153" t="s">
        <v>1105</v>
      </c>
      <c r="AD133" s="153" t="s">
        <v>992</v>
      </c>
      <c r="AE133" s="158"/>
      <c r="AF133" s="158"/>
      <c r="AG133" s="158"/>
      <c r="AH133" s="158"/>
      <c r="AI133" s="159"/>
    </row>
    <row r="134" spans="1:35" ht="15" x14ac:dyDescent="0.2">
      <c r="A134" s="137"/>
      <c r="B134" s="152"/>
      <c r="C134" s="153" t="s">
        <v>197</v>
      </c>
      <c r="D134" s="153"/>
      <c r="E134" s="165" t="s">
        <v>753</v>
      </c>
      <c r="F134" s="160" t="s">
        <v>1187</v>
      </c>
      <c r="G134" s="153"/>
      <c r="H134" s="152" t="s">
        <v>522</v>
      </c>
      <c r="I134" s="152"/>
      <c r="J134" s="153"/>
      <c r="K134" s="153"/>
      <c r="L134" s="139">
        <f t="shared" ca="1" si="3"/>
        <v>-46162</v>
      </c>
      <c r="M134" s="153"/>
      <c r="N134" s="153"/>
      <c r="O134" s="153"/>
      <c r="P134" s="153"/>
      <c r="Q134" s="153"/>
      <c r="R134" s="154"/>
      <c r="S134" s="153"/>
      <c r="T134" s="153"/>
      <c r="U134" s="153"/>
      <c r="V134" s="153"/>
      <c r="W134" s="153"/>
      <c r="X134" s="153"/>
      <c r="Y134" s="153"/>
      <c r="Z134" s="153"/>
      <c r="AA134" s="153"/>
      <c r="AB134" s="153"/>
      <c r="AC134" s="153"/>
      <c r="AD134" s="153"/>
      <c r="AE134" s="158"/>
      <c r="AF134" s="158"/>
      <c r="AG134" s="158"/>
      <c r="AH134" s="158"/>
      <c r="AI134" s="159"/>
    </row>
    <row r="135" spans="1:35" ht="15" x14ac:dyDescent="0.2">
      <c r="A135" s="137"/>
      <c r="B135" s="152"/>
      <c r="C135" s="153" t="s">
        <v>197</v>
      </c>
      <c r="D135" s="152" t="s">
        <v>679</v>
      </c>
      <c r="E135" s="160" t="s">
        <v>601</v>
      </c>
      <c r="F135" s="160" t="s">
        <v>1207</v>
      </c>
      <c r="G135" s="153" t="s">
        <v>1106</v>
      </c>
      <c r="H135" s="152" t="s">
        <v>522</v>
      </c>
      <c r="I135" s="152" t="s">
        <v>124</v>
      </c>
      <c r="J135" s="157">
        <v>45325</v>
      </c>
      <c r="K135" s="157">
        <v>46418</v>
      </c>
      <c r="L135" s="139">
        <f t="shared" ca="1" si="3"/>
        <v>256</v>
      </c>
      <c r="M135" s="157">
        <v>45323</v>
      </c>
      <c r="N135" s="153"/>
      <c r="O135" s="153"/>
      <c r="P135" s="153"/>
      <c r="Q135" s="153"/>
      <c r="R135" s="153" t="s">
        <v>501</v>
      </c>
      <c r="S135" s="153" t="s">
        <v>371</v>
      </c>
      <c r="T135" s="153"/>
      <c r="U135" s="153"/>
      <c r="V135" s="160" t="s">
        <v>601</v>
      </c>
      <c r="W135" s="153" t="s">
        <v>1106</v>
      </c>
      <c r="X135" s="153" t="s">
        <v>1107</v>
      </c>
      <c r="Y135" s="153" t="s">
        <v>1108</v>
      </c>
      <c r="Z135" s="157">
        <v>45325</v>
      </c>
      <c r="AA135" s="157">
        <v>45323</v>
      </c>
      <c r="AB135" s="157">
        <v>46418</v>
      </c>
      <c r="AC135" s="153" t="s">
        <v>1109</v>
      </c>
      <c r="AD135" s="153" t="s">
        <v>852</v>
      </c>
      <c r="AE135" s="158"/>
      <c r="AF135" s="158"/>
      <c r="AG135" s="158"/>
      <c r="AH135" s="158"/>
      <c r="AI135" s="159"/>
    </row>
    <row r="136" spans="1:35" ht="15" x14ac:dyDescent="0.2">
      <c r="A136" s="137"/>
      <c r="B136" s="152"/>
      <c r="C136" s="153" t="s">
        <v>197</v>
      </c>
      <c r="D136" s="152" t="s">
        <v>1112</v>
      </c>
      <c r="E136" s="165" t="s">
        <v>1110</v>
      </c>
      <c r="F136" s="160" t="s">
        <v>1208</v>
      </c>
      <c r="G136" s="153" t="s">
        <v>1111</v>
      </c>
      <c r="H136" s="152" t="s">
        <v>522</v>
      </c>
      <c r="I136" s="170" t="s">
        <v>508</v>
      </c>
      <c r="J136" s="157">
        <v>45911</v>
      </c>
      <c r="K136" s="157">
        <v>46843</v>
      </c>
      <c r="L136" s="139">
        <f t="shared" ca="1" si="3"/>
        <v>681</v>
      </c>
      <c r="M136" s="157">
        <v>45748</v>
      </c>
      <c r="N136" s="153"/>
      <c r="O136" s="153"/>
      <c r="P136" s="165" t="s">
        <v>1110</v>
      </c>
      <c r="Q136" s="153"/>
      <c r="R136" s="153" t="s">
        <v>501</v>
      </c>
      <c r="S136" s="153" t="s">
        <v>371</v>
      </c>
      <c r="T136" s="153"/>
      <c r="U136" s="153"/>
      <c r="V136" s="165" t="s">
        <v>1110</v>
      </c>
      <c r="W136" s="153" t="s">
        <v>1111</v>
      </c>
      <c r="X136" s="153" t="s">
        <v>1113</v>
      </c>
      <c r="Y136" s="153" t="s">
        <v>1114</v>
      </c>
      <c r="Z136" s="157">
        <v>45911</v>
      </c>
      <c r="AA136" s="157">
        <v>45911</v>
      </c>
      <c r="AB136" s="157">
        <v>46843</v>
      </c>
      <c r="AC136" s="153" t="s">
        <v>1115</v>
      </c>
      <c r="AD136" s="153" t="s">
        <v>856</v>
      </c>
      <c r="AE136" s="158"/>
      <c r="AF136" s="158"/>
      <c r="AG136" s="158"/>
      <c r="AH136" s="158"/>
      <c r="AI136" s="159"/>
    </row>
    <row r="137" spans="1:35" ht="15" x14ac:dyDescent="0.2">
      <c r="A137" s="137"/>
      <c r="B137" s="138"/>
      <c r="C137" s="140" t="s">
        <v>197</v>
      </c>
      <c r="D137" s="148" t="s">
        <v>679</v>
      </c>
      <c r="E137" s="141" t="s">
        <v>1116</v>
      </c>
      <c r="F137" s="143" t="s">
        <v>1209</v>
      </c>
      <c r="G137" s="140" t="s">
        <v>1117</v>
      </c>
      <c r="H137" s="138" t="s">
        <v>522</v>
      </c>
      <c r="I137" s="138" t="s">
        <v>124</v>
      </c>
      <c r="J137" s="146">
        <v>46014</v>
      </c>
      <c r="K137" s="146">
        <v>46387</v>
      </c>
      <c r="L137" s="139">
        <f t="shared" ca="1" si="3"/>
        <v>225</v>
      </c>
      <c r="M137" s="146">
        <v>46023</v>
      </c>
      <c r="N137" s="140"/>
      <c r="O137" s="140"/>
      <c r="P137" s="141" t="s">
        <v>1116</v>
      </c>
      <c r="Q137" s="140"/>
      <c r="R137" s="142" t="s">
        <v>501</v>
      </c>
      <c r="S137" s="140" t="s">
        <v>371</v>
      </c>
      <c r="T137" s="140"/>
      <c r="U137" s="140"/>
      <c r="V137" s="141" t="s">
        <v>1116</v>
      </c>
      <c r="W137" s="140" t="s">
        <v>1117</v>
      </c>
      <c r="X137" s="140" t="s">
        <v>1220</v>
      </c>
      <c r="Y137" s="140" t="s">
        <v>845</v>
      </c>
      <c r="Z137" s="146">
        <v>46014</v>
      </c>
      <c r="AA137" s="146">
        <v>46023</v>
      </c>
      <c r="AB137" s="146">
        <v>46387</v>
      </c>
      <c r="AC137" s="141" t="s">
        <v>1116</v>
      </c>
      <c r="AD137" s="140" t="s">
        <v>856</v>
      </c>
      <c r="AI137" s="133"/>
    </row>
    <row r="138" spans="1:35" ht="15" x14ac:dyDescent="0.2">
      <c r="A138" s="137"/>
      <c r="B138" s="147"/>
      <c r="C138" s="140" t="s">
        <v>197</v>
      </c>
      <c r="D138" s="140" t="s">
        <v>669</v>
      </c>
      <c r="E138" s="149" t="s">
        <v>1123</v>
      </c>
      <c r="F138" s="149" t="s">
        <v>1123</v>
      </c>
      <c r="G138" s="148" t="s">
        <v>1218</v>
      </c>
      <c r="H138" s="147" t="s">
        <v>522</v>
      </c>
      <c r="I138" s="147" t="s">
        <v>45</v>
      </c>
      <c r="J138" s="150">
        <v>46003</v>
      </c>
      <c r="K138" s="150">
        <v>47098</v>
      </c>
      <c r="L138" s="139">
        <f t="shared" ca="1" si="3"/>
        <v>936</v>
      </c>
      <c r="M138" s="150">
        <v>46003</v>
      </c>
      <c r="N138" s="148"/>
      <c r="O138" s="148"/>
      <c r="P138" s="149" t="s">
        <v>1123</v>
      </c>
      <c r="Q138" s="148"/>
      <c r="R138" s="148" t="s">
        <v>1234</v>
      </c>
      <c r="S138" s="148"/>
      <c r="T138" s="148"/>
      <c r="U138" s="148"/>
      <c r="V138" s="149" t="s">
        <v>1123</v>
      </c>
      <c r="W138" s="148" t="s">
        <v>1218</v>
      </c>
      <c r="X138" s="148" t="s">
        <v>1219</v>
      </c>
      <c r="Y138" s="148" t="s">
        <v>877</v>
      </c>
      <c r="Z138" s="150">
        <v>46003</v>
      </c>
      <c r="AA138" s="150">
        <v>46003</v>
      </c>
      <c r="AB138" s="150">
        <v>47098</v>
      </c>
      <c r="AC138" s="149" t="s">
        <v>1224</v>
      </c>
      <c r="AD138" s="148" t="s">
        <v>852</v>
      </c>
      <c r="AE138" s="134"/>
      <c r="AF138" s="134"/>
      <c r="AG138" s="134"/>
      <c r="AH138" s="134"/>
      <c r="AI138" s="135"/>
    </row>
    <row r="139" spans="1:35" ht="15" x14ac:dyDescent="0.2">
      <c r="A139" s="137"/>
      <c r="B139" s="147"/>
      <c r="C139" s="140" t="s">
        <v>197</v>
      </c>
      <c r="D139" s="140" t="s">
        <v>669</v>
      </c>
      <c r="E139" s="149" t="s">
        <v>1121</v>
      </c>
      <c r="F139" s="149" t="s">
        <v>1121</v>
      </c>
      <c r="G139" s="148" t="s">
        <v>1221</v>
      </c>
      <c r="H139" s="147" t="s">
        <v>522</v>
      </c>
      <c r="I139" s="147" t="s">
        <v>45</v>
      </c>
      <c r="J139" s="150">
        <v>46003</v>
      </c>
      <c r="K139" s="146">
        <v>46367</v>
      </c>
      <c r="L139" s="139">
        <f t="shared" ca="1" si="3"/>
        <v>205</v>
      </c>
      <c r="M139" s="150">
        <v>46003</v>
      </c>
      <c r="N139" s="148"/>
      <c r="O139" s="148"/>
      <c r="P139" s="149" t="s">
        <v>1121</v>
      </c>
      <c r="Q139" s="148"/>
      <c r="R139" s="151" t="s">
        <v>1238</v>
      </c>
      <c r="S139" s="148"/>
      <c r="T139" s="148"/>
      <c r="U139" s="148"/>
      <c r="V139" s="149" t="s">
        <v>1121</v>
      </c>
      <c r="W139" s="148" t="s">
        <v>1221</v>
      </c>
      <c r="X139" s="148" t="s">
        <v>1222</v>
      </c>
      <c r="Y139" s="148" t="s">
        <v>877</v>
      </c>
      <c r="Z139" s="150">
        <v>46003</v>
      </c>
      <c r="AA139" s="150">
        <v>46003</v>
      </c>
      <c r="AB139" s="146">
        <v>46367</v>
      </c>
      <c r="AC139" s="148" t="s">
        <v>1223</v>
      </c>
      <c r="AD139" s="148" t="s">
        <v>852</v>
      </c>
      <c r="AE139" s="134"/>
      <c r="AF139" s="134"/>
      <c r="AG139" s="134"/>
      <c r="AH139" s="134"/>
      <c r="AI139" s="135"/>
    </row>
    <row r="140" spans="1:35" ht="15" x14ac:dyDescent="0.2">
      <c r="A140" s="137"/>
      <c r="B140" s="138"/>
      <c r="C140" s="140" t="s">
        <v>197</v>
      </c>
      <c r="D140" s="140" t="s">
        <v>669</v>
      </c>
      <c r="E140" s="141" t="s">
        <v>1120</v>
      </c>
      <c r="F140" s="141" t="s">
        <v>1120</v>
      </c>
      <c r="G140" s="140" t="s">
        <v>1213</v>
      </c>
      <c r="H140" s="138" t="s">
        <v>522</v>
      </c>
      <c r="I140" s="138" t="s">
        <v>1214</v>
      </c>
      <c r="J140" s="146">
        <v>46003</v>
      </c>
      <c r="K140" s="146">
        <v>46367</v>
      </c>
      <c r="L140" s="139">
        <f t="shared" ca="1" si="3"/>
        <v>205</v>
      </c>
      <c r="M140" s="146">
        <v>46003</v>
      </c>
      <c r="N140" s="140"/>
      <c r="O140" s="140"/>
      <c r="P140" s="141" t="s">
        <v>1120</v>
      </c>
      <c r="Q140" s="140"/>
      <c r="R140" s="142" t="s">
        <v>501</v>
      </c>
      <c r="S140" s="140" t="s">
        <v>371</v>
      </c>
      <c r="T140" s="140"/>
      <c r="U140" s="140"/>
      <c r="V140" s="141" t="s">
        <v>1120</v>
      </c>
      <c r="W140" s="140" t="s">
        <v>1213</v>
      </c>
      <c r="X140" s="140" t="s">
        <v>1215</v>
      </c>
      <c r="Y140" s="140" t="s">
        <v>877</v>
      </c>
      <c r="Z140" s="146">
        <v>46003</v>
      </c>
      <c r="AA140" s="146">
        <v>46003</v>
      </c>
      <c r="AB140" s="146">
        <v>46367</v>
      </c>
      <c r="AC140" s="140" t="s">
        <v>1216</v>
      </c>
      <c r="AD140" s="140" t="s">
        <v>852</v>
      </c>
      <c r="AI140" s="133"/>
    </row>
    <row r="141" spans="1:35" ht="15" x14ac:dyDescent="0.2">
      <c r="A141" s="137"/>
      <c r="B141" s="147"/>
      <c r="C141" s="140" t="s">
        <v>197</v>
      </c>
      <c r="D141" s="148" t="s">
        <v>663</v>
      </c>
      <c r="E141" s="149" t="s">
        <v>1241</v>
      </c>
      <c r="F141" s="149" t="s">
        <v>1241</v>
      </c>
      <c r="G141" s="148" t="s">
        <v>1240</v>
      </c>
      <c r="H141" s="147" t="s">
        <v>522</v>
      </c>
      <c r="I141" s="147"/>
      <c r="J141" s="150">
        <v>46003</v>
      </c>
      <c r="K141" s="150">
        <v>47098</v>
      </c>
      <c r="L141" s="139">
        <f t="shared" ca="1" si="3"/>
        <v>936</v>
      </c>
      <c r="M141" s="150">
        <v>46003</v>
      </c>
      <c r="N141" s="148"/>
      <c r="O141" s="148"/>
      <c r="P141" s="149" t="s">
        <v>1210</v>
      </c>
      <c r="Q141" s="148"/>
      <c r="R141" s="151" t="s">
        <v>1235</v>
      </c>
      <c r="S141" s="148" t="s">
        <v>371</v>
      </c>
      <c r="T141" s="148"/>
      <c r="U141" s="148"/>
      <c r="V141" s="149" t="s">
        <v>1241</v>
      </c>
      <c r="W141" s="148" t="s">
        <v>1240</v>
      </c>
      <c r="X141" s="148" t="s">
        <v>1242</v>
      </c>
      <c r="Y141" s="148" t="s">
        <v>968</v>
      </c>
      <c r="Z141" s="150">
        <v>46003</v>
      </c>
      <c r="AA141" s="150">
        <v>46003</v>
      </c>
      <c r="AB141" s="150">
        <v>47098</v>
      </c>
      <c r="AC141" s="148" t="s">
        <v>1243</v>
      </c>
      <c r="AD141" s="148" t="s">
        <v>1072</v>
      </c>
      <c r="AE141" s="134"/>
      <c r="AF141" s="134"/>
      <c r="AG141" s="134"/>
      <c r="AH141" s="134"/>
      <c r="AI141" s="135"/>
    </row>
    <row r="142" spans="1:35" ht="15" x14ac:dyDescent="0.2">
      <c r="A142" s="137"/>
      <c r="B142" s="147"/>
      <c r="C142" s="140" t="s">
        <v>197</v>
      </c>
      <c r="D142" s="148" t="s">
        <v>679</v>
      </c>
      <c r="E142" s="149" t="s">
        <v>1211</v>
      </c>
      <c r="F142" s="149" t="s">
        <v>1211</v>
      </c>
      <c r="G142" s="148" t="s">
        <v>1263</v>
      </c>
      <c r="H142" s="147" t="s">
        <v>522</v>
      </c>
      <c r="I142" s="147"/>
      <c r="J142" s="150">
        <v>46024</v>
      </c>
      <c r="K142" s="150">
        <v>46356</v>
      </c>
      <c r="L142" s="139">
        <f t="shared" ca="1" si="3"/>
        <v>194</v>
      </c>
      <c r="M142" s="150">
        <v>46023</v>
      </c>
      <c r="N142" s="148"/>
      <c r="O142" s="148"/>
      <c r="P142" s="149" t="s">
        <v>1239</v>
      </c>
      <c r="Q142" s="148"/>
      <c r="R142" s="151"/>
      <c r="S142" s="148" t="s">
        <v>371</v>
      </c>
      <c r="T142" s="148"/>
      <c r="U142" s="148"/>
      <c r="V142" s="149" t="s">
        <v>1264</v>
      </c>
      <c r="W142" s="148" t="s">
        <v>1263</v>
      </c>
      <c r="X142" s="148" t="s">
        <v>1265</v>
      </c>
      <c r="Y142" s="148" t="s">
        <v>845</v>
      </c>
      <c r="Z142" s="150">
        <v>46024</v>
      </c>
      <c r="AA142" s="150">
        <v>46023</v>
      </c>
      <c r="AB142" s="150">
        <v>46356</v>
      </c>
      <c r="AC142" s="148" t="s">
        <v>1266</v>
      </c>
      <c r="AD142" s="148" t="s">
        <v>852</v>
      </c>
      <c r="AE142" s="134"/>
      <c r="AF142" s="134"/>
      <c r="AG142" s="134"/>
      <c r="AH142" s="134"/>
      <c r="AI142" s="135"/>
    </row>
    <row r="143" spans="1:35" ht="15" x14ac:dyDescent="0.2">
      <c r="A143" s="137"/>
      <c r="B143" s="147"/>
      <c r="C143" s="148" t="s">
        <v>197</v>
      </c>
      <c r="D143" s="148" t="s">
        <v>662</v>
      </c>
      <c r="E143" s="149" t="s">
        <v>1212</v>
      </c>
      <c r="F143" s="149" t="s">
        <v>1212</v>
      </c>
      <c r="G143" s="148" t="s">
        <v>1252</v>
      </c>
      <c r="H143" s="147" t="s">
        <v>522</v>
      </c>
      <c r="I143" s="147" t="s">
        <v>124</v>
      </c>
      <c r="J143" s="150">
        <v>46024</v>
      </c>
      <c r="K143" s="150">
        <v>46388</v>
      </c>
      <c r="L143" s="139">
        <f t="shared" ca="1" si="3"/>
        <v>226</v>
      </c>
      <c r="M143" s="150">
        <v>46024</v>
      </c>
      <c r="N143" s="148"/>
      <c r="O143" s="148"/>
      <c r="P143" s="149" t="s">
        <v>1212</v>
      </c>
      <c r="Q143" s="148"/>
      <c r="R143" s="148" t="s">
        <v>700</v>
      </c>
      <c r="S143" s="148" t="s">
        <v>157</v>
      </c>
      <c r="T143" s="148"/>
      <c r="U143" s="148"/>
      <c r="V143" s="149" t="s">
        <v>1212</v>
      </c>
      <c r="W143" s="148" t="s">
        <v>1252</v>
      </c>
      <c r="X143" s="148" t="s">
        <v>1253</v>
      </c>
      <c r="Y143" s="148" t="s">
        <v>845</v>
      </c>
      <c r="Z143" s="150">
        <v>46024</v>
      </c>
      <c r="AA143" s="150">
        <v>46024</v>
      </c>
      <c r="AB143" s="150">
        <v>46388</v>
      </c>
      <c r="AC143" s="148" t="s">
        <v>1254</v>
      </c>
      <c r="AD143" s="148" t="s">
        <v>852</v>
      </c>
      <c r="AE143" s="134"/>
      <c r="AF143" s="134"/>
      <c r="AG143" s="134"/>
      <c r="AH143" s="134"/>
      <c r="AI143" s="135"/>
    </row>
    <row r="144" spans="1:35" ht="15" x14ac:dyDescent="0.2">
      <c r="A144" s="137"/>
      <c r="B144" s="147"/>
      <c r="C144" s="148" t="s">
        <v>197</v>
      </c>
      <c r="D144" s="148" t="s">
        <v>669</v>
      </c>
      <c r="E144" s="149" t="s">
        <v>1217</v>
      </c>
      <c r="F144" s="149" t="s">
        <v>1217</v>
      </c>
      <c r="G144" s="149" t="s">
        <v>1249</v>
      </c>
      <c r="H144" s="147" t="s">
        <v>522</v>
      </c>
      <c r="I144" s="147" t="s">
        <v>508</v>
      </c>
      <c r="J144" s="150">
        <v>46023</v>
      </c>
      <c r="K144" s="150">
        <v>47118</v>
      </c>
      <c r="L144" s="139">
        <f t="shared" ca="1" si="3"/>
        <v>956</v>
      </c>
      <c r="M144" s="150">
        <v>46023</v>
      </c>
      <c r="N144" s="148"/>
      <c r="O144" s="148"/>
      <c r="P144" s="149" t="s">
        <v>1217</v>
      </c>
      <c r="Q144" s="148"/>
      <c r="R144" s="151" t="s">
        <v>700</v>
      </c>
      <c r="S144" s="148" t="s">
        <v>157</v>
      </c>
      <c r="T144" s="148"/>
      <c r="U144" s="148"/>
      <c r="V144" s="149" t="s">
        <v>1217</v>
      </c>
      <c r="W144" s="148" t="s">
        <v>1249</v>
      </c>
      <c r="X144" s="148" t="s">
        <v>1251</v>
      </c>
      <c r="Y144" s="148" t="s">
        <v>877</v>
      </c>
      <c r="Z144" s="150">
        <v>46023</v>
      </c>
      <c r="AA144" s="150">
        <v>46023</v>
      </c>
      <c r="AB144" s="150">
        <v>47118</v>
      </c>
      <c r="AC144" s="148" t="s">
        <v>1217</v>
      </c>
      <c r="AD144" s="148" t="s">
        <v>852</v>
      </c>
      <c r="AE144" s="134"/>
      <c r="AF144" s="134"/>
      <c r="AG144" s="134"/>
      <c r="AH144" s="134"/>
      <c r="AI144" s="135"/>
    </row>
    <row r="145" spans="1:36" ht="15" x14ac:dyDescent="0.2">
      <c r="A145" s="137"/>
      <c r="B145" s="147"/>
      <c r="C145" s="140" t="s">
        <v>197</v>
      </c>
      <c r="D145" s="148" t="s">
        <v>61</v>
      </c>
      <c r="E145" s="149" t="s">
        <v>248</v>
      </c>
      <c r="F145" s="149" t="s">
        <v>1230</v>
      </c>
      <c r="G145" s="140" t="s">
        <v>751</v>
      </c>
      <c r="H145" s="138" t="s">
        <v>522</v>
      </c>
      <c r="I145" s="138" t="s">
        <v>124</v>
      </c>
      <c r="J145" s="146">
        <v>46003</v>
      </c>
      <c r="K145" s="146">
        <v>46367</v>
      </c>
      <c r="L145" s="139">
        <f t="shared" ca="1" si="3"/>
        <v>205</v>
      </c>
      <c r="M145" s="146">
        <v>46003</v>
      </c>
      <c r="N145" s="148"/>
      <c r="O145" s="148"/>
      <c r="P145" s="149" t="s">
        <v>248</v>
      </c>
      <c r="Q145" s="148"/>
      <c r="R145" s="142" t="s">
        <v>501</v>
      </c>
      <c r="S145" s="148"/>
      <c r="T145" s="148"/>
      <c r="U145" s="148"/>
      <c r="V145" s="149" t="s">
        <v>248</v>
      </c>
      <c r="W145" s="148" t="s">
        <v>1231</v>
      </c>
      <c r="X145" s="148" t="s">
        <v>1232</v>
      </c>
      <c r="Y145" s="140" t="s">
        <v>845</v>
      </c>
      <c r="Z145" s="146">
        <v>46003</v>
      </c>
      <c r="AA145" s="146">
        <v>46003</v>
      </c>
      <c r="AB145" s="146">
        <v>46367</v>
      </c>
      <c r="AC145" s="148" t="s">
        <v>912</v>
      </c>
      <c r="AD145" s="148" t="s">
        <v>913</v>
      </c>
      <c r="AE145" s="134"/>
      <c r="AF145" s="134"/>
      <c r="AG145" s="134"/>
      <c r="AH145" s="134"/>
      <c r="AI145" s="135"/>
    </row>
    <row r="146" spans="1:36" ht="15" x14ac:dyDescent="0.2">
      <c r="A146" s="137"/>
      <c r="B146" s="147"/>
      <c r="C146" s="140" t="s">
        <v>197</v>
      </c>
      <c r="D146" s="148" t="s">
        <v>669</v>
      </c>
      <c r="E146" s="149" t="s">
        <v>1244</v>
      </c>
      <c r="F146" s="149" t="s">
        <v>1244</v>
      </c>
      <c r="G146" s="148" t="s">
        <v>1245</v>
      </c>
      <c r="H146" s="147" t="s">
        <v>522</v>
      </c>
      <c r="I146" s="147"/>
      <c r="J146" s="146">
        <v>45916</v>
      </c>
      <c r="K146" s="146">
        <v>46142</v>
      </c>
      <c r="L146" s="192">
        <f t="shared" ref="L146:L152" ca="1" si="4">K146-TODAY()</f>
        <v>-20</v>
      </c>
      <c r="M146" s="146">
        <v>45962</v>
      </c>
      <c r="N146" s="148"/>
      <c r="O146" s="148"/>
      <c r="P146" s="149" t="s">
        <v>1244</v>
      </c>
      <c r="Q146" s="148"/>
      <c r="R146" s="148" t="s">
        <v>1246</v>
      </c>
      <c r="S146" s="148"/>
      <c r="T146" s="148"/>
      <c r="U146" s="148"/>
      <c r="V146" s="149"/>
      <c r="W146" s="148"/>
      <c r="X146" s="148"/>
      <c r="Y146" s="148"/>
      <c r="Z146" s="150"/>
      <c r="AA146" s="150"/>
      <c r="AB146" s="150"/>
      <c r="AC146" s="148"/>
      <c r="AD146" s="148"/>
      <c r="AE146" s="134"/>
      <c r="AF146" s="134"/>
      <c r="AG146" s="134"/>
      <c r="AH146" s="134"/>
      <c r="AI146" s="135"/>
    </row>
    <row r="147" spans="1:36" ht="15" x14ac:dyDescent="0.2">
      <c r="A147" s="137"/>
      <c r="B147" s="148" t="s">
        <v>651</v>
      </c>
      <c r="C147" s="148" t="s">
        <v>197</v>
      </c>
      <c r="D147" s="148" t="s">
        <v>679</v>
      </c>
      <c r="E147" s="149" t="s">
        <v>650</v>
      </c>
      <c r="F147" s="149" t="s">
        <v>1225</v>
      </c>
      <c r="G147" s="148" t="s">
        <v>652</v>
      </c>
      <c r="H147" s="147" t="s">
        <v>522</v>
      </c>
      <c r="I147" s="147" t="s">
        <v>44</v>
      </c>
      <c r="J147" s="146">
        <v>46049</v>
      </c>
      <c r="K147" s="146">
        <v>46387</v>
      </c>
      <c r="L147" s="192">
        <f t="shared" ca="1" si="4"/>
        <v>225</v>
      </c>
      <c r="M147" s="146">
        <v>46054</v>
      </c>
      <c r="N147" s="148" t="s">
        <v>653</v>
      </c>
      <c r="O147" s="148"/>
      <c r="P147" s="149" t="s">
        <v>724</v>
      </c>
      <c r="Q147" s="148"/>
      <c r="R147" s="151"/>
      <c r="S147" s="148" t="s">
        <v>157</v>
      </c>
      <c r="T147" s="148"/>
      <c r="U147" s="148"/>
      <c r="V147" s="149" t="s">
        <v>724</v>
      </c>
      <c r="W147" s="148" t="s">
        <v>652</v>
      </c>
      <c r="X147" s="148" t="s">
        <v>1248</v>
      </c>
      <c r="Y147" s="148" t="s">
        <v>845</v>
      </c>
      <c r="Z147" s="146">
        <v>46049</v>
      </c>
      <c r="AA147" s="146">
        <v>46054</v>
      </c>
      <c r="AB147" s="146">
        <v>46387</v>
      </c>
      <c r="AC147" s="148" t="s">
        <v>851</v>
      </c>
      <c r="AD147" s="148" t="s">
        <v>852</v>
      </c>
      <c r="AE147" s="134"/>
      <c r="AF147" s="134"/>
      <c r="AG147" s="134"/>
      <c r="AH147" s="134"/>
      <c r="AI147" s="135"/>
      <c r="AJ147" s="134"/>
    </row>
    <row r="148" spans="1:36" ht="15" x14ac:dyDescent="0.2">
      <c r="A148" s="137"/>
      <c r="B148" s="147"/>
      <c r="C148" s="153" t="s">
        <v>197</v>
      </c>
      <c r="D148" s="152" t="s">
        <v>663</v>
      </c>
      <c r="E148" s="149" t="s">
        <v>1256</v>
      </c>
      <c r="F148" s="160" t="s">
        <v>1165</v>
      </c>
      <c r="G148" s="148" t="s">
        <v>1255</v>
      </c>
      <c r="H148" s="152" t="s">
        <v>522</v>
      </c>
      <c r="I148" s="147"/>
      <c r="J148" s="150">
        <v>46113</v>
      </c>
      <c r="K148" s="150">
        <v>47208</v>
      </c>
      <c r="L148" s="192">
        <f t="shared" ca="1" si="4"/>
        <v>1046</v>
      </c>
      <c r="M148" s="150"/>
      <c r="N148" s="148"/>
      <c r="O148" s="148"/>
      <c r="P148" s="153" t="s">
        <v>658</v>
      </c>
      <c r="Q148" s="148"/>
      <c r="R148" s="151"/>
      <c r="S148" s="148"/>
      <c r="T148" s="148"/>
      <c r="U148" s="148"/>
      <c r="V148" s="149"/>
      <c r="W148" s="148"/>
      <c r="X148" s="148"/>
      <c r="Y148" s="148"/>
      <c r="Z148" s="150"/>
      <c r="AA148" s="150"/>
      <c r="AB148" s="150"/>
      <c r="AC148" s="148"/>
      <c r="AD148" s="148"/>
      <c r="AE148" s="134"/>
      <c r="AF148" s="134"/>
      <c r="AG148" s="134"/>
      <c r="AH148" s="134"/>
      <c r="AI148" s="135"/>
      <c r="AJ148" s="134"/>
    </row>
    <row r="149" spans="1:36" ht="60" x14ac:dyDescent="0.2">
      <c r="A149" s="137"/>
      <c r="B149" s="147"/>
      <c r="C149" s="148"/>
      <c r="D149" s="148"/>
      <c r="E149" s="149" t="s">
        <v>1286</v>
      </c>
      <c r="F149" s="149"/>
      <c r="G149" s="151" t="s">
        <v>1257</v>
      </c>
      <c r="H149" s="147" t="s">
        <v>522</v>
      </c>
      <c r="I149" s="147"/>
      <c r="J149" s="150">
        <v>46090</v>
      </c>
      <c r="K149" s="150">
        <v>46454</v>
      </c>
      <c r="L149" s="192">
        <f t="shared" ca="1" si="4"/>
        <v>292</v>
      </c>
      <c r="M149" s="150">
        <v>46090</v>
      </c>
      <c r="N149" s="148"/>
      <c r="O149" s="148"/>
      <c r="P149" s="149"/>
      <c r="Q149" s="148"/>
      <c r="R149" s="151"/>
      <c r="S149" s="148"/>
      <c r="T149" s="148"/>
      <c r="U149" s="148"/>
      <c r="V149" s="149"/>
      <c r="W149" s="148"/>
      <c r="X149" s="148"/>
      <c r="Y149" s="148"/>
      <c r="Z149" s="150"/>
      <c r="AA149" s="150"/>
      <c r="AB149" s="150"/>
      <c r="AC149" s="148"/>
      <c r="AD149" s="148"/>
      <c r="AE149" s="134"/>
      <c r="AF149" s="134"/>
      <c r="AG149" s="134"/>
      <c r="AH149" s="134"/>
      <c r="AI149" s="135"/>
      <c r="AJ149" s="134"/>
    </row>
    <row r="150" spans="1:36" ht="30" x14ac:dyDescent="0.2">
      <c r="A150" s="137"/>
      <c r="B150" s="147"/>
      <c r="C150" s="148"/>
      <c r="D150" s="148"/>
      <c r="E150" s="149" t="s">
        <v>1258</v>
      </c>
      <c r="F150" s="149" t="s">
        <v>1258</v>
      </c>
      <c r="G150" s="148" t="s">
        <v>1278</v>
      </c>
      <c r="H150" s="147" t="s">
        <v>522</v>
      </c>
      <c r="I150" s="147" t="s">
        <v>124</v>
      </c>
      <c r="J150" s="150">
        <v>46054</v>
      </c>
      <c r="K150" s="150">
        <v>47149</v>
      </c>
      <c r="L150" s="192">
        <f t="shared" ca="1" si="4"/>
        <v>987</v>
      </c>
      <c r="M150" s="150">
        <v>46054</v>
      </c>
      <c r="N150" s="148"/>
      <c r="O150" s="148"/>
      <c r="P150" s="149" t="s">
        <v>1258</v>
      </c>
      <c r="Q150" s="148"/>
      <c r="R150" s="151" t="s">
        <v>1279</v>
      </c>
      <c r="S150" s="148" t="s">
        <v>371</v>
      </c>
      <c r="T150" s="148"/>
      <c r="U150" s="148"/>
      <c r="V150" s="149" t="s">
        <v>1258</v>
      </c>
      <c r="W150" s="148" t="s">
        <v>1278</v>
      </c>
      <c r="X150" s="148" t="s">
        <v>1280</v>
      </c>
      <c r="Y150" s="148" t="s">
        <v>877</v>
      </c>
      <c r="Z150" s="150">
        <v>46049</v>
      </c>
      <c r="AA150" s="150">
        <v>46054</v>
      </c>
      <c r="AB150" s="150">
        <v>47149</v>
      </c>
      <c r="AC150" s="148" t="s">
        <v>1282</v>
      </c>
      <c r="AD150" s="148" t="s">
        <v>852</v>
      </c>
      <c r="AE150" s="134"/>
      <c r="AF150" s="134"/>
      <c r="AG150" s="134"/>
      <c r="AH150" s="134"/>
      <c r="AI150" s="135"/>
      <c r="AJ150" s="134"/>
    </row>
    <row r="151" spans="1:36" ht="15" x14ac:dyDescent="0.2">
      <c r="A151" s="137"/>
      <c r="B151" s="147"/>
      <c r="C151" s="148"/>
      <c r="D151" s="148"/>
      <c r="E151" s="149" t="s">
        <v>1259</v>
      </c>
      <c r="F151" s="149" t="s">
        <v>1260</v>
      </c>
      <c r="G151" s="148" t="s">
        <v>1261</v>
      </c>
      <c r="H151" s="147" t="s">
        <v>522</v>
      </c>
      <c r="I151" s="147"/>
      <c r="J151" s="150">
        <v>46015</v>
      </c>
      <c r="K151" s="150"/>
      <c r="L151" s="192">
        <f t="shared" ca="1" si="4"/>
        <v>-46162</v>
      </c>
      <c r="M151" s="150">
        <v>46003</v>
      </c>
      <c r="N151" s="148"/>
      <c r="O151" s="148"/>
      <c r="P151" s="149" t="s">
        <v>1259</v>
      </c>
      <c r="Q151" s="148"/>
      <c r="R151" s="151"/>
      <c r="S151" s="148" t="s">
        <v>371</v>
      </c>
      <c r="T151" s="148"/>
      <c r="U151" s="148"/>
      <c r="V151" s="149" t="s">
        <v>1259</v>
      </c>
      <c r="W151" s="148"/>
      <c r="X151" s="148" t="s">
        <v>1262</v>
      </c>
      <c r="Y151" s="148"/>
      <c r="Z151" s="150"/>
      <c r="AA151" s="150"/>
      <c r="AB151" s="150"/>
      <c r="AC151" s="148"/>
      <c r="AD151" s="148"/>
      <c r="AE151" s="134"/>
      <c r="AF151" s="134"/>
      <c r="AG151" s="134"/>
      <c r="AH151" s="134"/>
      <c r="AI151" s="135"/>
      <c r="AJ151" s="134"/>
    </row>
    <row r="152" spans="1:36" ht="15" x14ac:dyDescent="0.2">
      <c r="A152" s="137"/>
      <c r="B152" s="147"/>
      <c r="C152" s="148"/>
      <c r="D152" s="148"/>
      <c r="E152" s="149" t="s">
        <v>1267</v>
      </c>
      <c r="F152" s="149" t="s">
        <v>1267</v>
      </c>
      <c r="G152" s="148" t="s">
        <v>1268</v>
      </c>
      <c r="H152" s="147" t="s">
        <v>522</v>
      </c>
      <c r="I152" s="147"/>
      <c r="J152" s="150">
        <v>46023</v>
      </c>
      <c r="K152" s="150">
        <v>47087</v>
      </c>
      <c r="L152" s="192">
        <f t="shared" ca="1" si="4"/>
        <v>925</v>
      </c>
      <c r="M152" s="150">
        <v>45992</v>
      </c>
      <c r="N152" s="148"/>
      <c r="O152" s="148"/>
      <c r="P152" s="149" t="s">
        <v>1269</v>
      </c>
      <c r="Q152" s="148"/>
      <c r="R152" s="151" t="s">
        <v>700</v>
      </c>
      <c r="S152" s="148" t="s">
        <v>371</v>
      </c>
      <c r="T152" s="148"/>
      <c r="U152" s="148"/>
      <c r="V152" s="149" t="s">
        <v>1269</v>
      </c>
      <c r="W152" s="148" t="s">
        <v>1268</v>
      </c>
      <c r="X152" s="148" t="s">
        <v>1270</v>
      </c>
      <c r="Y152" s="148" t="s">
        <v>1271</v>
      </c>
      <c r="Z152" s="150">
        <v>46023</v>
      </c>
      <c r="AA152" s="150">
        <v>45992</v>
      </c>
      <c r="AB152" s="150">
        <v>47087</v>
      </c>
      <c r="AC152" s="148" t="s">
        <v>1272</v>
      </c>
      <c r="AD152" s="148" t="s">
        <v>852</v>
      </c>
      <c r="AE152" s="134"/>
      <c r="AF152" s="134"/>
      <c r="AG152" s="134"/>
      <c r="AH152" s="134"/>
      <c r="AI152" s="135"/>
      <c r="AJ152" s="134"/>
    </row>
    <row r="153" spans="1:36" ht="15" x14ac:dyDescent="0.2">
      <c r="A153" s="137"/>
      <c r="B153" s="147"/>
      <c r="C153" s="148" t="s">
        <v>197</v>
      </c>
      <c r="D153" s="148" t="s">
        <v>61</v>
      </c>
      <c r="E153" s="149" t="s">
        <v>1276</v>
      </c>
      <c r="F153" s="149" t="s">
        <v>248</v>
      </c>
      <c r="G153" s="140" t="s">
        <v>751</v>
      </c>
      <c r="H153" s="147" t="s">
        <v>522</v>
      </c>
      <c r="I153" s="138" t="s">
        <v>668</v>
      </c>
      <c r="J153" s="150">
        <v>45819</v>
      </c>
      <c r="K153" s="150">
        <v>46585</v>
      </c>
      <c r="L153" s="192">
        <f t="shared" ref="L153:L158" ca="1" si="5">K153-TODAY()</f>
        <v>423</v>
      </c>
      <c r="M153" s="150">
        <v>45491</v>
      </c>
      <c r="N153" s="148"/>
      <c r="O153" s="148"/>
      <c r="P153" s="149" t="s">
        <v>1276</v>
      </c>
      <c r="Q153" s="148"/>
      <c r="R153" s="151"/>
      <c r="S153" s="148" t="s">
        <v>371</v>
      </c>
      <c r="T153" s="148"/>
      <c r="U153" s="148"/>
      <c r="V153" s="149" t="s">
        <v>1276</v>
      </c>
      <c r="W153" s="140" t="s">
        <v>751</v>
      </c>
      <c r="X153" s="148" t="s">
        <v>1277</v>
      </c>
      <c r="Y153" s="148" t="s">
        <v>907</v>
      </c>
      <c r="Z153" s="150">
        <v>45819</v>
      </c>
      <c r="AA153" s="150"/>
      <c r="AB153" s="150"/>
      <c r="AC153" s="148" t="s">
        <v>912</v>
      </c>
      <c r="AD153" s="148" t="s">
        <v>913</v>
      </c>
      <c r="AE153" s="134"/>
      <c r="AF153" s="134"/>
      <c r="AG153" s="134"/>
      <c r="AH153" s="134"/>
      <c r="AI153" s="135"/>
      <c r="AJ153" s="134"/>
    </row>
    <row r="154" spans="1:36" ht="15" x14ac:dyDescent="0.2">
      <c r="A154" s="137"/>
      <c r="B154" s="147"/>
      <c r="C154" s="148"/>
      <c r="D154" s="148"/>
      <c r="E154" s="149" t="s">
        <v>1284</v>
      </c>
      <c r="F154" s="149" t="s">
        <v>1284</v>
      </c>
      <c r="G154" s="148" t="s">
        <v>1294</v>
      </c>
      <c r="H154" s="147" t="s">
        <v>522</v>
      </c>
      <c r="I154" s="147"/>
      <c r="J154" s="150">
        <v>46096</v>
      </c>
      <c r="K154" s="150">
        <v>46460</v>
      </c>
      <c r="L154" s="192">
        <f t="shared" ca="1" si="5"/>
        <v>298</v>
      </c>
      <c r="M154" s="150">
        <v>46096</v>
      </c>
      <c r="N154" s="148"/>
      <c r="O154" s="148"/>
      <c r="P154" s="149"/>
      <c r="Q154" s="148"/>
      <c r="R154" s="151"/>
      <c r="S154" s="148"/>
      <c r="T154" s="148"/>
      <c r="U154" s="148"/>
      <c r="V154" s="149" t="s">
        <v>1284</v>
      </c>
      <c r="W154" s="148" t="s">
        <v>1294</v>
      </c>
      <c r="X154" s="148" t="s">
        <v>1295</v>
      </c>
      <c r="Y154" s="148" t="s">
        <v>1108</v>
      </c>
      <c r="Z154" s="150">
        <v>46096</v>
      </c>
      <c r="AA154" s="150">
        <v>46096</v>
      </c>
      <c r="AB154" s="150">
        <v>46460</v>
      </c>
      <c r="AC154" s="148" t="s">
        <v>1296</v>
      </c>
      <c r="AD154" s="148" t="s">
        <v>852</v>
      </c>
      <c r="AE154" s="134"/>
      <c r="AF154" s="134"/>
      <c r="AG154" s="134"/>
      <c r="AH154" s="134"/>
      <c r="AI154" s="135"/>
      <c r="AJ154" s="134"/>
    </row>
    <row r="155" spans="1:36" ht="15" x14ac:dyDescent="0.2">
      <c r="A155" s="137"/>
      <c r="B155" s="147"/>
      <c r="C155" s="148"/>
      <c r="D155" s="147" t="s">
        <v>679</v>
      </c>
      <c r="E155" s="149" t="s">
        <v>1283</v>
      </c>
      <c r="F155" s="149"/>
      <c r="G155" s="148"/>
      <c r="H155" s="147" t="s">
        <v>522</v>
      </c>
      <c r="I155" s="147"/>
      <c r="J155" s="150">
        <v>46106</v>
      </c>
      <c r="K155" s="150">
        <v>46442</v>
      </c>
      <c r="L155" s="192">
        <f t="shared" ca="1" si="5"/>
        <v>280</v>
      </c>
      <c r="M155" s="150">
        <v>46106</v>
      </c>
      <c r="N155" s="148"/>
      <c r="O155" s="148"/>
      <c r="P155" s="149"/>
      <c r="Q155" s="148"/>
      <c r="R155" s="151"/>
      <c r="S155" s="148" t="s">
        <v>371</v>
      </c>
      <c r="T155" s="148"/>
      <c r="U155" s="148"/>
      <c r="V155" s="149"/>
      <c r="W155" s="148"/>
      <c r="X155" s="148"/>
      <c r="Y155" s="148"/>
      <c r="Z155" s="150"/>
      <c r="AA155" s="150"/>
      <c r="AB155" s="150"/>
      <c r="AC155" s="148"/>
      <c r="AD155" s="148"/>
      <c r="AE155" s="134"/>
      <c r="AF155" s="134"/>
      <c r="AG155" s="134"/>
      <c r="AH155" s="134"/>
      <c r="AI155" s="135"/>
      <c r="AJ155" s="134"/>
    </row>
    <row r="156" spans="1:36" ht="30" x14ac:dyDescent="0.2">
      <c r="A156" s="137"/>
      <c r="B156" s="147"/>
      <c r="C156" s="148"/>
      <c r="D156" s="147" t="s">
        <v>669</v>
      </c>
      <c r="E156" s="149" t="s">
        <v>770</v>
      </c>
      <c r="F156" s="149" t="s">
        <v>1192</v>
      </c>
      <c r="G156" s="148" t="s">
        <v>771</v>
      </c>
      <c r="H156" s="147" t="s">
        <v>522</v>
      </c>
      <c r="I156" s="147"/>
      <c r="J156" s="150"/>
      <c r="K156" s="150"/>
      <c r="L156" s="192">
        <f t="shared" ca="1" si="5"/>
        <v>-46162</v>
      </c>
      <c r="M156" s="150"/>
      <c r="N156" s="148"/>
      <c r="O156" s="148"/>
      <c r="P156" s="165" t="s">
        <v>770</v>
      </c>
      <c r="Q156" s="148"/>
      <c r="R156" s="154" t="s">
        <v>1285</v>
      </c>
      <c r="S156" s="148"/>
      <c r="T156" s="148"/>
      <c r="U156" s="148"/>
      <c r="V156" s="149"/>
      <c r="W156" s="148"/>
      <c r="X156" s="148"/>
      <c r="Y156" s="148"/>
      <c r="Z156" s="150"/>
      <c r="AA156" s="150"/>
      <c r="AB156" s="150"/>
      <c r="AC156" s="148"/>
      <c r="AD156" s="148"/>
      <c r="AE156" s="134"/>
      <c r="AF156" s="134"/>
      <c r="AG156" s="134"/>
      <c r="AH156" s="134"/>
      <c r="AI156" s="135"/>
      <c r="AJ156" s="134"/>
    </row>
    <row r="157" spans="1:36" ht="15" x14ac:dyDescent="0.2">
      <c r="A157" s="137"/>
      <c r="B157" s="147"/>
      <c r="C157" s="140" t="s">
        <v>197</v>
      </c>
      <c r="D157" s="138" t="s">
        <v>679</v>
      </c>
      <c r="E157" s="149" t="s">
        <v>1288</v>
      </c>
      <c r="F157" s="149"/>
      <c r="G157" s="148" t="s">
        <v>577</v>
      </c>
      <c r="H157" s="147" t="s">
        <v>522</v>
      </c>
      <c r="I157" s="147" t="s">
        <v>124</v>
      </c>
      <c r="J157" s="150">
        <v>46105</v>
      </c>
      <c r="K157" s="150">
        <v>46379</v>
      </c>
      <c r="L157" s="192">
        <f t="shared" ca="1" si="5"/>
        <v>217</v>
      </c>
      <c r="M157" s="150">
        <v>46023</v>
      </c>
      <c r="N157" s="148"/>
      <c r="O157" s="148"/>
      <c r="P157" s="141" t="s">
        <v>836</v>
      </c>
      <c r="Q157" s="148"/>
      <c r="R157" s="151"/>
      <c r="S157" s="148" t="s">
        <v>371</v>
      </c>
      <c r="T157" s="148"/>
      <c r="U157" s="148"/>
      <c r="V157" s="149" t="s">
        <v>1289</v>
      </c>
      <c r="W157" s="148" t="s">
        <v>577</v>
      </c>
      <c r="X157" s="148" t="s">
        <v>1290</v>
      </c>
      <c r="Y157" s="148" t="s">
        <v>845</v>
      </c>
      <c r="Z157" s="150">
        <v>46105</v>
      </c>
      <c r="AA157" s="150">
        <v>46046</v>
      </c>
      <c r="AB157" s="150">
        <f>Table2[[#This Row],[From]]+365</f>
        <v>46411</v>
      </c>
      <c r="AC157" s="148" t="s">
        <v>836</v>
      </c>
      <c r="AD157" s="148" t="s">
        <v>852</v>
      </c>
      <c r="AE157" s="134"/>
      <c r="AF157" s="134"/>
      <c r="AG157" s="134"/>
      <c r="AH157" s="134"/>
      <c r="AI157" s="135"/>
      <c r="AJ157" s="134"/>
    </row>
    <row r="158" spans="1:36" ht="15" x14ac:dyDescent="0.2">
      <c r="A158" s="137"/>
      <c r="B158" s="147"/>
      <c r="C158" s="148" t="s">
        <v>197</v>
      </c>
      <c r="D158" s="147" t="s">
        <v>679</v>
      </c>
      <c r="E158" s="149" t="s">
        <v>1287</v>
      </c>
      <c r="F158" s="149" t="s">
        <v>1287</v>
      </c>
      <c r="G158" s="148" t="s">
        <v>1291</v>
      </c>
      <c r="H158" s="147" t="s">
        <v>522</v>
      </c>
      <c r="I158" s="147" t="s">
        <v>124</v>
      </c>
      <c r="J158" s="150">
        <v>46112</v>
      </c>
      <c r="K158" s="150">
        <v>46457</v>
      </c>
      <c r="L158" s="192">
        <f t="shared" ca="1" si="5"/>
        <v>295</v>
      </c>
      <c r="M158" s="150">
        <v>46093</v>
      </c>
      <c r="N158" s="148"/>
      <c r="O158" s="148"/>
      <c r="P158" s="149"/>
      <c r="Q158" s="148"/>
      <c r="R158" s="151"/>
      <c r="S158" s="148"/>
      <c r="T158" s="148"/>
      <c r="U158" s="148"/>
      <c r="V158" s="149" t="s">
        <v>1287</v>
      </c>
      <c r="W158" s="148" t="s">
        <v>1291</v>
      </c>
      <c r="X158" s="148" t="s">
        <v>1292</v>
      </c>
      <c r="Y158" s="148" t="s">
        <v>845</v>
      </c>
      <c r="Z158" s="150">
        <v>46112</v>
      </c>
      <c r="AA158" s="150">
        <v>46093</v>
      </c>
      <c r="AB158" s="150">
        <v>46457</v>
      </c>
      <c r="AC158" s="148" t="s">
        <v>1293</v>
      </c>
      <c r="AD158" s="148" t="s">
        <v>992</v>
      </c>
      <c r="AE158" s="134"/>
      <c r="AF158" s="134"/>
      <c r="AG158" s="134"/>
      <c r="AH158" s="134"/>
      <c r="AI158" s="135"/>
      <c r="AJ158" s="134"/>
    </row>
  </sheetData>
  <phoneticPr fontId="23" type="noConversion"/>
  <pageMargins left="0.26" right="0.24" top="0.17" bottom="0.18" header="0.31496062992125984" footer="0.17"/>
  <pageSetup scale="26" orientation="portrait" r:id="rId1"/>
  <ignoredErrors>
    <ignoredError sqref="B147" numberStoredAsText="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B72E2-B593-48C8-843A-8E1C30431680}">
  <dimension ref="A1:N12"/>
  <sheetViews>
    <sheetView topLeftCell="F1" workbookViewId="0">
      <selection activeCell="L11" sqref="L11"/>
    </sheetView>
  </sheetViews>
  <sheetFormatPr defaultRowHeight="12.75" x14ac:dyDescent="0.2"/>
  <cols>
    <col min="1" max="1" width="7.140625" bestFit="1" customWidth="1"/>
    <col min="2" max="2" width="5.7109375" bestFit="1" customWidth="1"/>
    <col min="3" max="3" width="9" bestFit="1" customWidth="1"/>
    <col min="4" max="4" width="25.28515625" bestFit="1" customWidth="1"/>
    <col min="5" max="5" width="87.85546875" bestFit="1" customWidth="1"/>
    <col min="6" max="6" width="10.28515625" bestFit="1" customWidth="1"/>
    <col min="7" max="7" width="8.85546875" bestFit="1" customWidth="1"/>
    <col min="8" max="8" width="14.85546875" bestFit="1" customWidth="1"/>
    <col min="9" max="9" width="11.42578125" bestFit="1" customWidth="1"/>
    <col min="10" max="10" width="20.85546875" bestFit="1" customWidth="1"/>
    <col min="11" max="11" width="16" bestFit="1" customWidth="1"/>
    <col min="12" max="12" width="16.28515625" bestFit="1" customWidth="1"/>
    <col min="13" max="13" width="6.85546875" bestFit="1" customWidth="1"/>
    <col min="14" max="14" width="8" bestFit="1" customWidth="1"/>
  </cols>
  <sheetData>
    <row r="1" spans="1:14" x14ac:dyDescent="0.2">
      <c r="A1" s="98" t="s">
        <v>5</v>
      </c>
      <c r="B1" s="98" t="s">
        <v>3</v>
      </c>
      <c r="C1" s="98" t="s">
        <v>477</v>
      </c>
      <c r="D1" s="99" t="s">
        <v>4</v>
      </c>
      <c r="E1" s="98" t="s">
        <v>322</v>
      </c>
      <c r="F1" s="98" t="s">
        <v>500</v>
      </c>
      <c r="G1" s="100" t="s">
        <v>6</v>
      </c>
      <c r="H1" s="98" t="s">
        <v>358</v>
      </c>
      <c r="I1" s="98" t="s">
        <v>359</v>
      </c>
      <c r="J1" s="98" t="s">
        <v>360</v>
      </c>
      <c r="K1" s="98" t="s">
        <v>559</v>
      </c>
      <c r="L1" s="101" t="s">
        <v>61</v>
      </c>
      <c r="M1" s="102" t="s">
        <v>152</v>
      </c>
      <c r="N1" s="102" t="s">
        <v>90</v>
      </c>
    </row>
    <row r="2" spans="1:14" x14ac:dyDescent="0.2">
      <c r="A2">
        <v>1</v>
      </c>
      <c r="B2">
        <v>2195</v>
      </c>
      <c r="C2" t="s">
        <v>545</v>
      </c>
      <c r="D2" t="s">
        <v>263</v>
      </c>
      <c r="E2" s="127" t="s">
        <v>547</v>
      </c>
      <c r="F2" t="s">
        <v>553</v>
      </c>
      <c r="G2" s="127" t="s">
        <v>555</v>
      </c>
      <c r="H2" s="124">
        <v>44120</v>
      </c>
      <c r="I2" s="124">
        <v>44459</v>
      </c>
      <c r="J2" s="124">
        <v>44125</v>
      </c>
      <c r="K2">
        <v>44550</v>
      </c>
      <c r="L2" t="s">
        <v>564</v>
      </c>
      <c r="N2" t="s">
        <v>371</v>
      </c>
    </row>
    <row r="3" spans="1:14" x14ac:dyDescent="0.2">
      <c r="A3">
        <v>2</v>
      </c>
      <c r="B3">
        <v>2196</v>
      </c>
      <c r="C3" t="s">
        <v>545</v>
      </c>
      <c r="D3" t="s">
        <v>264</v>
      </c>
      <c r="E3" s="127" t="s">
        <v>548</v>
      </c>
      <c r="F3" t="s">
        <v>553</v>
      </c>
      <c r="G3" s="127" t="s">
        <v>554</v>
      </c>
      <c r="H3" s="124">
        <v>44120</v>
      </c>
      <c r="I3" s="124">
        <v>44459</v>
      </c>
      <c r="J3" s="124">
        <v>44125</v>
      </c>
      <c r="K3">
        <v>67500</v>
      </c>
      <c r="L3" t="s">
        <v>566</v>
      </c>
      <c r="N3" t="s">
        <v>371</v>
      </c>
    </row>
    <row r="4" spans="1:14" x14ac:dyDescent="0.2">
      <c r="A4">
        <v>3</v>
      </c>
      <c r="B4">
        <v>2197</v>
      </c>
      <c r="C4" t="s">
        <v>545</v>
      </c>
      <c r="D4" t="s">
        <v>265</v>
      </c>
      <c r="E4" s="127" t="s">
        <v>549</v>
      </c>
      <c r="F4" t="s">
        <v>553</v>
      </c>
      <c r="G4" s="127" t="s">
        <v>556</v>
      </c>
      <c r="H4" s="124">
        <v>44120</v>
      </c>
      <c r="I4" s="124">
        <v>44459</v>
      </c>
      <c r="J4" s="124">
        <v>44125</v>
      </c>
      <c r="K4">
        <v>37500</v>
      </c>
      <c r="L4" t="s">
        <v>560</v>
      </c>
      <c r="N4" t="s">
        <v>371</v>
      </c>
    </row>
    <row r="5" spans="1:14" x14ac:dyDescent="0.2">
      <c r="A5">
        <v>4</v>
      </c>
      <c r="B5">
        <v>2198</v>
      </c>
      <c r="C5" t="s">
        <v>545</v>
      </c>
      <c r="D5" t="s">
        <v>266</v>
      </c>
      <c r="E5" s="127" t="s">
        <v>550</v>
      </c>
      <c r="F5" t="s">
        <v>553</v>
      </c>
      <c r="G5" s="127" t="s">
        <v>557</v>
      </c>
      <c r="H5" s="124">
        <v>44120</v>
      </c>
      <c r="I5" s="124">
        <v>44459</v>
      </c>
      <c r="J5" s="124">
        <v>44125</v>
      </c>
      <c r="K5">
        <v>84000</v>
      </c>
      <c r="L5" t="s">
        <v>565</v>
      </c>
      <c r="N5" t="s">
        <v>371</v>
      </c>
    </row>
    <row r="6" spans="1:14" x14ac:dyDescent="0.2">
      <c r="A6">
        <v>5</v>
      </c>
      <c r="B6">
        <v>2199</v>
      </c>
      <c r="C6" t="s">
        <v>545</v>
      </c>
      <c r="D6" t="s">
        <v>543</v>
      </c>
      <c r="E6" s="127" t="s">
        <v>551</v>
      </c>
      <c r="F6" t="s">
        <v>553</v>
      </c>
      <c r="G6" s="127" t="s">
        <v>558</v>
      </c>
      <c r="H6" s="124">
        <v>44120</v>
      </c>
      <c r="I6" s="124">
        <v>44459</v>
      </c>
      <c r="J6" s="124">
        <v>44125</v>
      </c>
      <c r="K6">
        <v>30000</v>
      </c>
      <c r="L6" t="s">
        <v>563</v>
      </c>
      <c r="N6" t="s">
        <v>371</v>
      </c>
    </row>
    <row r="7" spans="1:14" x14ac:dyDescent="0.2">
      <c r="A7">
        <v>6</v>
      </c>
      <c r="B7">
        <v>2208</v>
      </c>
      <c r="C7" t="s">
        <v>545</v>
      </c>
      <c r="D7" t="s">
        <v>267</v>
      </c>
      <c r="E7" s="127" t="s">
        <v>552</v>
      </c>
      <c r="F7" t="s">
        <v>553</v>
      </c>
      <c r="G7" s="127" t="s">
        <v>228</v>
      </c>
      <c r="H7" s="124">
        <v>44145</v>
      </c>
      <c r="I7" s="124">
        <v>44478</v>
      </c>
      <c r="J7" s="124">
        <v>44145</v>
      </c>
      <c r="K7">
        <v>163750</v>
      </c>
      <c r="L7" t="s">
        <v>561</v>
      </c>
      <c r="N7" t="s">
        <v>371</v>
      </c>
    </row>
    <row r="8" spans="1:14" x14ac:dyDescent="0.2">
      <c r="A8">
        <v>7</v>
      </c>
      <c r="B8">
        <v>2194</v>
      </c>
      <c r="C8" t="s">
        <v>545</v>
      </c>
      <c r="D8" t="s">
        <v>544</v>
      </c>
      <c r="E8" s="127" t="s">
        <v>546</v>
      </c>
      <c r="F8" t="s">
        <v>553</v>
      </c>
      <c r="G8" s="127" t="s">
        <v>554</v>
      </c>
      <c r="H8" s="124">
        <v>44120</v>
      </c>
      <c r="I8" s="124">
        <v>44459</v>
      </c>
      <c r="J8" s="124">
        <v>44125</v>
      </c>
      <c r="K8">
        <v>30000</v>
      </c>
      <c r="L8" t="s">
        <v>562</v>
      </c>
      <c r="N8" t="s">
        <v>371</v>
      </c>
    </row>
    <row r="9" spans="1:14" x14ac:dyDescent="0.2">
      <c r="A9">
        <v>8</v>
      </c>
      <c r="B9">
        <v>2197</v>
      </c>
      <c r="C9" t="s">
        <v>545</v>
      </c>
      <c r="D9" t="s">
        <v>265</v>
      </c>
      <c r="E9" s="127" t="s">
        <v>549</v>
      </c>
      <c r="F9" t="s">
        <v>553</v>
      </c>
      <c r="G9" s="127" t="s">
        <v>556</v>
      </c>
      <c r="H9" s="124">
        <v>44481</v>
      </c>
      <c r="I9" s="124">
        <v>44793</v>
      </c>
      <c r="J9" s="124">
        <v>44460</v>
      </c>
      <c r="K9">
        <v>75000</v>
      </c>
      <c r="L9" t="s">
        <v>560</v>
      </c>
      <c r="N9" t="s">
        <v>371</v>
      </c>
    </row>
    <row r="10" spans="1:14" x14ac:dyDescent="0.2">
      <c r="A10">
        <v>9</v>
      </c>
      <c r="B10">
        <v>2199</v>
      </c>
      <c r="C10" t="s">
        <v>545</v>
      </c>
      <c r="D10" t="s">
        <v>543</v>
      </c>
      <c r="E10" s="127" t="s">
        <v>551</v>
      </c>
      <c r="F10" t="s">
        <v>553</v>
      </c>
      <c r="G10" s="127" t="s">
        <v>558</v>
      </c>
      <c r="H10" s="124">
        <v>44481</v>
      </c>
      <c r="I10" s="124">
        <v>44793</v>
      </c>
      <c r="J10" s="124">
        <v>44460</v>
      </c>
      <c r="K10">
        <v>30000</v>
      </c>
      <c r="L10" t="s">
        <v>563</v>
      </c>
      <c r="N10" t="s">
        <v>371</v>
      </c>
    </row>
    <row r="11" spans="1:14" x14ac:dyDescent="0.2">
      <c r="A11">
        <v>10</v>
      </c>
      <c r="B11">
        <v>2196</v>
      </c>
      <c r="C11" t="s">
        <v>545</v>
      </c>
      <c r="D11" t="s">
        <v>264</v>
      </c>
      <c r="E11" s="127" t="s">
        <v>548</v>
      </c>
      <c r="F11" t="s">
        <v>553</v>
      </c>
      <c r="G11" s="127" t="s">
        <v>554</v>
      </c>
      <c r="H11" s="124">
        <v>44481</v>
      </c>
      <c r="I11" s="124">
        <v>44793</v>
      </c>
      <c r="J11" s="124">
        <v>44460</v>
      </c>
      <c r="K11">
        <v>27000</v>
      </c>
      <c r="L11" t="s">
        <v>566</v>
      </c>
      <c r="N11" t="s">
        <v>371</v>
      </c>
    </row>
    <row r="12" spans="1:14" x14ac:dyDescent="0.2">
      <c r="A12">
        <v>11</v>
      </c>
      <c r="B12">
        <v>2195</v>
      </c>
      <c r="C12" t="s">
        <v>545</v>
      </c>
      <c r="D12" t="s">
        <v>263</v>
      </c>
      <c r="E12" s="127" t="s">
        <v>547</v>
      </c>
      <c r="F12" t="s">
        <v>553</v>
      </c>
      <c r="G12" s="127" t="s">
        <v>555</v>
      </c>
      <c r="H12" s="124">
        <v>44481</v>
      </c>
      <c r="I12" s="124">
        <v>44793</v>
      </c>
      <c r="J12" s="124">
        <v>44460</v>
      </c>
      <c r="K12">
        <v>44550</v>
      </c>
      <c r="L12" t="s">
        <v>564</v>
      </c>
      <c r="N12" t="s">
        <v>371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E72A9-F9E3-4D3F-82B8-EC9196ACFA9D}">
  <dimension ref="A1:G58"/>
  <sheetViews>
    <sheetView workbookViewId="0"/>
  </sheetViews>
  <sheetFormatPr defaultRowHeight="12.75" x14ac:dyDescent="0.2"/>
  <cols>
    <col min="1" max="1" width="67" bestFit="1" customWidth="1"/>
    <col min="2" max="2" width="0" hidden="1" customWidth="1"/>
    <col min="3" max="3" width="11.85546875" bestFit="1" customWidth="1"/>
    <col min="4" max="4" width="27.42578125" bestFit="1" customWidth="1"/>
    <col min="5" max="5" width="0" hidden="1" customWidth="1"/>
    <col min="6" max="6" width="24.42578125" bestFit="1" customWidth="1"/>
    <col min="7" max="7" width="36.85546875" bestFit="1" customWidth="1"/>
  </cols>
  <sheetData>
    <row r="1" spans="1:7" x14ac:dyDescent="0.2">
      <c r="A1" s="99" t="s">
        <v>4</v>
      </c>
      <c r="B1" s="98" t="s">
        <v>322</v>
      </c>
      <c r="C1" s="100" t="s">
        <v>6</v>
      </c>
      <c r="D1" s="101" t="s">
        <v>61</v>
      </c>
      <c r="E1" s="103" t="s">
        <v>511</v>
      </c>
      <c r="F1" s="123" t="s">
        <v>537</v>
      </c>
      <c r="G1" s="123" t="s">
        <v>538</v>
      </c>
    </row>
    <row r="2" spans="1:7" ht="13.5" customHeight="1" x14ac:dyDescent="0.2">
      <c r="A2" s="4" t="s">
        <v>502</v>
      </c>
      <c r="B2" s="4" t="s">
        <v>503</v>
      </c>
      <c r="C2" s="117" t="s">
        <v>44</v>
      </c>
      <c r="D2" s="117" t="s">
        <v>504</v>
      </c>
      <c r="E2" s="8" t="s">
        <v>512</v>
      </c>
      <c r="F2" s="4"/>
      <c r="G2" s="4"/>
    </row>
    <row r="3" spans="1:7" ht="13.5" customHeight="1" x14ac:dyDescent="0.2">
      <c r="A3" s="8" t="s">
        <v>505</v>
      </c>
      <c r="B3" s="17" t="s">
        <v>362</v>
      </c>
      <c r="C3" s="117" t="s">
        <v>44</v>
      </c>
      <c r="D3" s="117" t="s">
        <v>504</v>
      </c>
      <c r="E3" s="4"/>
      <c r="F3" s="4"/>
      <c r="G3" s="4"/>
    </row>
    <row r="4" spans="1:7" ht="13.5" x14ac:dyDescent="0.25">
      <c r="A4" s="105" t="s">
        <v>16</v>
      </c>
      <c r="B4" s="14" t="s">
        <v>355</v>
      </c>
      <c r="C4" s="104" t="s">
        <v>44</v>
      </c>
      <c r="D4" s="106" t="s">
        <v>62</v>
      </c>
      <c r="E4" s="4"/>
      <c r="F4" s="4"/>
      <c r="G4" s="4"/>
    </row>
    <row r="5" spans="1:7" ht="12.75" customHeight="1" x14ac:dyDescent="0.25">
      <c r="A5" s="105" t="s">
        <v>18</v>
      </c>
      <c r="B5" s="14" t="s">
        <v>357</v>
      </c>
      <c r="C5" s="104" t="s">
        <v>44</v>
      </c>
      <c r="D5" s="106" t="s">
        <v>62</v>
      </c>
      <c r="E5" s="8" t="s">
        <v>512</v>
      </c>
      <c r="F5" s="4"/>
      <c r="G5" s="4"/>
    </row>
    <row r="6" spans="1:7" ht="13.5" x14ac:dyDescent="0.25">
      <c r="A6" s="105" t="s">
        <v>29</v>
      </c>
      <c r="B6" s="14" t="s">
        <v>442</v>
      </c>
      <c r="C6" s="104" t="s">
        <v>44</v>
      </c>
      <c r="D6" s="106" t="s">
        <v>62</v>
      </c>
      <c r="E6" s="4"/>
      <c r="F6" s="4"/>
      <c r="G6" s="4"/>
    </row>
    <row r="7" spans="1:7" x14ac:dyDescent="0.2">
      <c r="A7" s="115" t="s">
        <v>431</v>
      </c>
      <c r="B7" s="4" t="s">
        <v>432</v>
      </c>
      <c r="C7" s="117" t="s">
        <v>44</v>
      </c>
      <c r="D7" s="117" t="s">
        <v>435</v>
      </c>
      <c r="E7" s="4"/>
      <c r="F7" s="4"/>
      <c r="G7" s="4"/>
    </row>
    <row r="8" spans="1:7" ht="12.75" customHeight="1" x14ac:dyDescent="0.2">
      <c r="A8" s="115" t="s">
        <v>436</v>
      </c>
      <c r="B8" s="8" t="s">
        <v>437</v>
      </c>
      <c r="C8" s="117" t="s">
        <v>44</v>
      </c>
      <c r="D8" s="117" t="s">
        <v>435</v>
      </c>
      <c r="E8" s="4"/>
      <c r="F8" s="4"/>
      <c r="G8" s="4"/>
    </row>
    <row r="9" spans="1:7" ht="15" x14ac:dyDescent="0.25">
      <c r="A9" s="111" t="s">
        <v>280</v>
      </c>
      <c r="B9" s="110" t="s">
        <v>474</v>
      </c>
      <c r="C9" s="104" t="s">
        <v>124</v>
      </c>
      <c r="D9" s="106" t="s">
        <v>102</v>
      </c>
      <c r="E9" s="8" t="s">
        <v>514</v>
      </c>
      <c r="F9" s="4"/>
      <c r="G9" s="4"/>
    </row>
    <row r="10" spans="1:7" ht="15" x14ac:dyDescent="0.25">
      <c r="A10" s="111" t="s">
        <v>281</v>
      </c>
      <c r="B10" s="110" t="s">
        <v>475</v>
      </c>
      <c r="C10" s="104" t="s">
        <v>124</v>
      </c>
      <c r="D10" s="106" t="s">
        <v>102</v>
      </c>
      <c r="E10" s="8" t="s">
        <v>514</v>
      </c>
      <c r="F10" s="4"/>
      <c r="G10" s="4"/>
    </row>
    <row r="11" spans="1:7" x14ac:dyDescent="0.25">
      <c r="A11" s="115" t="s">
        <v>300</v>
      </c>
      <c r="B11" s="8" t="s">
        <v>450</v>
      </c>
      <c r="C11" s="104" t="s">
        <v>44</v>
      </c>
      <c r="D11" s="106" t="s">
        <v>102</v>
      </c>
      <c r="E11" s="8" t="s">
        <v>514</v>
      </c>
      <c r="F11" s="4"/>
      <c r="G11" s="4"/>
    </row>
    <row r="12" spans="1:7" ht="12.75" customHeight="1" x14ac:dyDescent="0.2">
      <c r="A12" s="115" t="s">
        <v>444</v>
      </c>
      <c r="B12" s="14" t="s">
        <v>445</v>
      </c>
      <c r="C12" s="117" t="s">
        <v>44</v>
      </c>
      <c r="D12" s="106" t="s">
        <v>102</v>
      </c>
      <c r="E12" s="8" t="s">
        <v>515</v>
      </c>
      <c r="F12" s="4"/>
      <c r="G12" s="4"/>
    </row>
    <row r="13" spans="1:7" x14ac:dyDescent="0.25">
      <c r="A13" s="105" t="s">
        <v>158</v>
      </c>
      <c r="B13" s="104" t="s">
        <v>533</v>
      </c>
      <c r="C13" s="104" t="s">
        <v>93</v>
      </c>
      <c r="D13" s="106" t="s">
        <v>102</v>
      </c>
      <c r="E13" s="31" t="s">
        <v>516</v>
      </c>
      <c r="F13" s="4"/>
      <c r="G13" s="4"/>
    </row>
    <row r="14" spans="1:7" ht="12.75" customHeight="1" x14ac:dyDescent="0.2">
      <c r="A14" s="107" t="s">
        <v>96</v>
      </c>
      <c r="B14" s="107" t="s">
        <v>375</v>
      </c>
      <c r="C14" s="106" t="s">
        <v>97</v>
      </c>
      <c r="D14" s="106" t="s">
        <v>191</v>
      </c>
      <c r="E14" s="9"/>
      <c r="F14" s="4"/>
      <c r="G14" s="4"/>
    </row>
    <row r="15" spans="1:7" ht="13.5" x14ac:dyDescent="0.25">
      <c r="A15" s="111" t="s">
        <v>282</v>
      </c>
      <c r="B15" s="14" t="s">
        <v>476</v>
      </c>
      <c r="C15" s="104" t="s">
        <v>124</v>
      </c>
      <c r="D15" s="106" t="s">
        <v>235</v>
      </c>
      <c r="E15" s="8" t="s">
        <v>512</v>
      </c>
      <c r="F15" s="4"/>
      <c r="G15" s="4"/>
    </row>
    <row r="16" spans="1:7" x14ac:dyDescent="0.25">
      <c r="A16" s="105" t="s">
        <v>41</v>
      </c>
      <c r="B16" s="4" t="s">
        <v>464</v>
      </c>
      <c r="C16" s="104" t="s">
        <v>44</v>
      </c>
      <c r="D16" s="106" t="s">
        <v>168</v>
      </c>
      <c r="E16" s="4"/>
      <c r="F16" s="4"/>
      <c r="G16" s="4"/>
    </row>
    <row r="17" spans="1:7" ht="13.5" x14ac:dyDescent="0.25">
      <c r="A17" s="105" t="s">
        <v>528</v>
      </c>
      <c r="B17" s="17" t="s">
        <v>530</v>
      </c>
      <c r="C17" s="104" t="s">
        <v>196</v>
      </c>
      <c r="D17" s="106" t="s">
        <v>532</v>
      </c>
      <c r="E17" s="31"/>
      <c r="F17" s="4"/>
      <c r="G17" s="4"/>
    </row>
    <row r="18" spans="1:7" ht="13.5" x14ac:dyDescent="0.25">
      <c r="A18" s="105" t="s">
        <v>529</v>
      </c>
      <c r="B18" s="17" t="s">
        <v>531</v>
      </c>
      <c r="C18" s="104" t="s">
        <v>196</v>
      </c>
      <c r="D18" s="106" t="s">
        <v>532</v>
      </c>
      <c r="E18" s="31"/>
      <c r="F18" s="4"/>
      <c r="G18" s="4"/>
    </row>
    <row r="19" spans="1:7" ht="13.5" x14ac:dyDescent="0.25">
      <c r="A19" s="105" t="s">
        <v>25</v>
      </c>
      <c r="B19" s="14" t="s">
        <v>378</v>
      </c>
      <c r="C19" s="104" t="s">
        <v>44</v>
      </c>
      <c r="D19" s="106" t="s">
        <v>91</v>
      </c>
      <c r="E19" s="8" t="s">
        <v>512</v>
      </c>
      <c r="F19" s="4"/>
      <c r="G19" s="4"/>
    </row>
    <row r="20" spans="1:7" ht="12.75" customHeight="1" x14ac:dyDescent="0.2">
      <c r="A20" s="107" t="s">
        <v>170</v>
      </c>
      <c r="B20" s="106" t="s">
        <v>380</v>
      </c>
      <c r="C20" s="106" t="s">
        <v>44</v>
      </c>
      <c r="D20" s="106" t="s">
        <v>91</v>
      </c>
      <c r="E20" s="4"/>
      <c r="F20" s="4"/>
      <c r="G20" s="4"/>
    </row>
    <row r="21" spans="1:7" x14ac:dyDescent="0.25">
      <c r="A21" s="105" t="s">
        <v>184</v>
      </c>
      <c r="B21" s="104" t="s">
        <v>389</v>
      </c>
      <c r="C21" s="104" t="s">
        <v>52</v>
      </c>
      <c r="D21" s="106" t="s">
        <v>165</v>
      </c>
      <c r="E21" s="8" t="s">
        <v>513</v>
      </c>
      <c r="F21" s="4"/>
      <c r="G21" s="4"/>
    </row>
    <row r="22" spans="1:7" x14ac:dyDescent="0.25">
      <c r="A22" s="105" t="s">
        <v>38</v>
      </c>
      <c r="B22" s="104" t="s">
        <v>390</v>
      </c>
      <c r="C22" s="104" t="s">
        <v>94</v>
      </c>
      <c r="D22" s="106" t="s">
        <v>165</v>
      </c>
      <c r="E22" s="8" t="s">
        <v>510</v>
      </c>
      <c r="F22" s="4"/>
      <c r="G22" s="4"/>
    </row>
    <row r="23" spans="1:7" x14ac:dyDescent="0.25">
      <c r="A23" s="105" t="s">
        <v>185</v>
      </c>
      <c r="B23" s="104" t="s">
        <v>389</v>
      </c>
      <c r="C23" s="104" t="s">
        <v>52</v>
      </c>
      <c r="D23" s="106" t="s">
        <v>165</v>
      </c>
      <c r="E23" s="8" t="s">
        <v>513</v>
      </c>
      <c r="F23" s="4"/>
      <c r="G23" s="4"/>
    </row>
    <row r="24" spans="1:7" x14ac:dyDescent="0.25">
      <c r="A24" s="112" t="s">
        <v>291</v>
      </c>
      <c r="B24" s="113" t="s">
        <v>454</v>
      </c>
      <c r="C24" s="104" t="s">
        <v>228</v>
      </c>
      <c r="D24" s="106" t="s">
        <v>165</v>
      </c>
      <c r="E24" s="4"/>
      <c r="F24" s="4"/>
      <c r="G24" s="4"/>
    </row>
    <row r="25" spans="1:7" ht="15" x14ac:dyDescent="0.25">
      <c r="A25" s="105" t="s">
        <v>350</v>
      </c>
      <c r="B25" s="110" t="s">
        <v>351</v>
      </c>
      <c r="C25" s="104" t="s">
        <v>50</v>
      </c>
      <c r="D25" s="106" t="s">
        <v>165</v>
      </c>
      <c r="E25" s="4"/>
      <c r="F25" s="4"/>
      <c r="G25" s="4"/>
    </row>
    <row r="26" spans="1:7" x14ac:dyDescent="0.25">
      <c r="A26" s="105" t="s">
        <v>534</v>
      </c>
      <c r="B26" s="104" t="s">
        <v>535</v>
      </c>
      <c r="C26" s="104" t="s">
        <v>536</v>
      </c>
      <c r="D26" s="106" t="s">
        <v>165</v>
      </c>
      <c r="E26" s="31" t="s">
        <v>512</v>
      </c>
      <c r="F26" s="4"/>
      <c r="G26" s="4"/>
    </row>
    <row r="27" spans="1:7" ht="13.5" customHeight="1" x14ac:dyDescent="0.2">
      <c r="A27" s="122" t="s">
        <v>506</v>
      </c>
      <c r="B27" s="122" t="s">
        <v>507</v>
      </c>
      <c r="C27" s="117" t="s">
        <v>44</v>
      </c>
      <c r="D27" s="8" t="s">
        <v>509</v>
      </c>
      <c r="E27" s="4"/>
      <c r="F27" s="4"/>
      <c r="G27" s="4"/>
    </row>
    <row r="28" spans="1:7" x14ac:dyDescent="0.25">
      <c r="A28" s="105" t="s">
        <v>23</v>
      </c>
      <c r="B28" s="104" t="s">
        <v>402</v>
      </c>
      <c r="C28" s="104" t="s">
        <v>44</v>
      </c>
      <c r="D28" s="108" t="s">
        <v>72</v>
      </c>
      <c r="E28" s="4"/>
      <c r="F28" s="4"/>
      <c r="G28" s="4"/>
    </row>
    <row r="29" spans="1:7" x14ac:dyDescent="0.25">
      <c r="A29" s="105" t="s">
        <v>28</v>
      </c>
      <c r="B29" s="104" t="s">
        <v>403</v>
      </c>
      <c r="C29" s="104" t="s">
        <v>51</v>
      </c>
      <c r="D29" s="108" t="s">
        <v>72</v>
      </c>
      <c r="E29" s="8" t="s">
        <v>517</v>
      </c>
      <c r="F29" s="4"/>
      <c r="G29" s="4"/>
    </row>
    <row r="30" spans="1:7" x14ac:dyDescent="0.25">
      <c r="A30" s="105" t="s">
        <v>35</v>
      </c>
      <c r="B30" s="104" t="s">
        <v>401</v>
      </c>
      <c r="C30" s="104" t="s">
        <v>44</v>
      </c>
      <c r="D30" s="108" t="s">
        <v>72</v>
      </c>
      <c r="E30" s="4"/>
      <c r="F30" s="4"/>
      <c r="G30" s="4"/>
    </row>
    <row r="31" spans="1:7" x14ac:dyDescent="0.25">
      <c r="A31" s="105" t="s">
        <v>24</v>
      </c>
      <c r="B31" s="104" t="s">
        <v>396</v>
      </c>
      <c r="C31" s="104" t="s">
        <v>51</v>
      </c>
      <c r="D31" s="108" t="s">
        <v>72</v>
      </c>
      <c r="E31" s="4"/>
      <c r="F31" s="4"/>
      <c r="G31" s="4"/>
    </row>
    <row r="32" spans="1:7" x14ac:dyDescent="0.25">
      <c r="A32" s="105" t="s">
        <v>34</v>
      </c>
      <c r="B32" s="104" t="s">
        <v>398</v>
      </c>
      <c r="C32" s="104" t="s">
        <v>51</v>
      </c>
      <c r="D32" s="108" t="s">
        <v>72</v>
      </c>
      <c r="E32" s="8" t="s">
        <v>517</v>
      </c>
      <c r="F32" s="4"/>
      <c r="G32" s="4"/>
    </row>
    <row r="33" spans="1:7" x14ac:dyDescent="0.25">
      <c r="A33" s="116" t="s">
        <v>407</v>
      </c>
      <c r="B33" s="8" t="s">
        <v>408</v>
      </c>
      <c r="C33" s="104" t="s">
        <v>51</v>
      </c>
      <c r="D33" s="108" t="s">
        <v>72</v>
      </c>
      <c r="E33" s="8" t="s">
        <v>517</v>
      </c>
      <c r="F33" s="4"/>
      <c r="G33" s="4"/>
    </row>
    <row r="34" spans="1:7" x14ac:dyDescent="0.25">
      <c r="A34" s="115" t="s">
        <v>410</v>
      </c>
      <c r="B34" s="8" t="s">
        <v>411</v>
      </c>
      <c r="C34" s="104" t="s">
        <v>51</v>
      </c>
      <c r="D34" s="106" t="s">
        <v>72</v>
      </c>
      <c r="E34" s="8" t="s">
        <v>517</v>
      </c>
      <c r="F34" s="4"/>
      <c r="G34" s="4"/>
    </row>
    <row r="35" spans="1:7" x14ac:dyDescent="0.25">
      <c r="A35" s="116" t="s">
        <v>407</v>
      </c>
      <c r="B35" s="8" t="s">
        <v>523</v>
      </c>
      <c r="C35" s="104" t="s">
        <v>51</v>
      </c>
      <c r="D35" s="108" t="s">
        <v>72</v>
      </c>
      <c r="E35" s="8" t="s">
        <v>517</v>
      </c>
      <c r="F35" s="4"/>
      <c r="G35" s="4"/>
    </row>
    <row r="36" spans="1:7" x14ac:dyDescent="0.25">
      <c r="A36" s="105" t="s">
        <v>2</v>
      </c>
      <c r="B36" s="104" t="s">
        <v>323</v>
      </c>
      <c r="C36" s="104" t="s">
        <v>45</v>
      </c>
      <c r="D36" s="106" t="s">
        <v>105</v>
      </c>
      <c r="E36" s="8" t="s">
        <v>512</v>
      </c>
      <c r="F36" s="4"/>
      <c r="G36" s="4"/>
    </row>
    <row r="37" spans="1:7" x14ac:dyDescent="0.25">
      <c r="A37" s="105" t="s">
        <v>10</v>
      </c>
      <c r="B37" s="104" t="s">
        <v>326</v>
      </c>
      <c r="C37" s="104" t="s">
        <v>45</v>
      </c>
      <c r="D37" s="106" t="s">
        <v>105</v>
      </c>
      <c r="E37" s="8" t="s">
        <v>512</v>
      </c>
      <c r="F37" s="4"/>
      <c r="G37" s="4"/>
    </row>
    <row r="38" spans="1:7" x14ac:dyDescent="0.25">
      <c r="A38" s="105" t="s">
        <v>19</v>
      </c>
      <c r="B38" s="104" t="s">
        <v>327</v>
      </c>
      <c r="C38" s="104" t="s">
        <v>45</v>
      </c>
      <c r="D38" s="106" t="s">
        <v>105</v>
      </c>
      <c r="E38" s="8" t="s">
        <v>512</v>
      </c>
      <c r="F38" s="4"/>
      <c r="G38" s="4"/>
    </row>
    <row r="39" spans="1:7" x14ac:dyDescent="0.25">
      <c r="A39" s="105" t="s">
        <v>20</v>
      </c>
      <c r="B39" s="104" t="s">
        <v>328</v>
      </c>
      <c r="C39" s="104" t="s">
        <v>45</v>
      </c>
      <c r="D39" s="106" t="s">
        <v>105</v>
      </c>
      <c r="E39" s="8" t="s">
        <v>512</v>
      </c>
      <c r="F39" s="4"/>
      <c r="G39" s="4"/>
    </row>
    <row r="40" spans="1:7" x14ac:dyDescent="0.25">
      <c r="A40" s="105" t="s">
        <v>21</v>
      </c>
      <c r="B40" s="104" t="s">
        <v>329</v>
      </c>
      <c r="C40" s="104" t="s">
        <v>45</v>
      </c>
      <c r="D40" s="106" t="s">
        <v>105</v>
      </c>
      <c r="E40" s="4"/>
      <c r="F40" s="4"/>
      <c r="G40" s="4"/>
    </row>
    <row r="41" spans="1:7" x14ac:dyDescent="0.25">
      <c r="A41" s="105" t="s">
        <v>274</v>
      </c>
      <c r="B41" s="104" t="s">
        <v>336</v>
      </c>
      <c r="C41" s="106" t="s">
        <v>45</v>
      </c>
      <c r="D41" s="106" t="s">
        <v>105</v>
      </c>
      <c r="E41" s="8" t="s">
        <v>512</v>
      </c>
      <c r="F41" s="4"/>
      <c r="G41" s="4"/>
    </row>
    <row r="42" spans="1:7" ht="12.75" customHeight="1" x14ac:dyDescent="0.25">
      <c r="A42" s="105" t="s">
        <v>275</v>
      </c>
      <c r="B42" s="104" t="s">
        <v>337</v>
      </c>
      <c r="C42" s="106" t="s">
        <v>45</v>
      </c>
      <c r="D42" s="106" t="s">
        <v>105</v>
      </c>
      <c r="E42" s="4"/>
      <c r="F42" s="4"/>
      <c r="G42" s="4"/>
    </row>
    <row r="43" spans="1:7" ht="12.75" customHeight="1" x14ac:dyDescent="0.2">
      <c r="A43" s="8" t="s">
        <v>494</v>
      </c>
      <c r="B43" s="120" t="s">
        <v>495</v>
      </c>
      <c r="C43" s="121" t="s">
        <v>45</v>
      </c>
      <c r="D43" s="106" t="s">
        <v>105</v>
      </c>
      <c r="E43" s="4"/>
      <c r="F43" s="4"/>
      <c r="G43" s="4"/>
    </row>
    <row r="44" spans="1:7" ht="12.75" customHeight="1" x14ac:dyDescent="0.25">
      <c r="A44" s="105" t="s">
        <v>31</v>
      </c>
      <c r="B44" s="104" t="s">
        <v>418</v>
      </c>
      <c r="C44" s="104" t="s">
        <v>44</v>
      </c>
      <c r="D44" s="106" t="s">
        <v>82</v>
      </c>
      <c r="E44" s="4"/>
      <c r="F44" s="4"/>
      <c r="G44" s="4"/>
    </row>
    <row r="45" spans="1:7" ht="12.75" customHeight="1" x14ac:dyDescent="0.25">
      <c r="A45" s="105" t="s">
        <v>524</v>
      </c>
      <c r="B45" s="109" t="s">
        <v>525</v>
      </c>
      <c r="C45" s="104" t="s">
        <v>44</v>
      </c>
      <c r="D45" s="106" t="s">
        <v>82</v>
      </c>
      <c r="E45" s="9"/>
      <c r="F45" s="4"/>
      <c r="G45" s="4"/>
    </row>
    <row r="46" spans="1:7" ht="12.75" customHeight="1" x14ac:dyDescent="0.25">
      <c r="A46" s="105" t="s">
        <v>243</v>
      </c>
      <c r="B46" s="14" t="s">
        <v>440</v>
      </c>
      <c r="C46" s="104" t="s">
        <v>245</v>
      </c>
      <c r="D46" s="106" t="s">
        <v>248</v>
      </c>
      <c r="E46" s="4"/>
      <c r="F46" s="4"/>
      <c r="G46" s="4"/>
    </row>
    <row r="47" spans="1:7" ht="12.75" customHeight="1" x14ac:dyDescent="0.25">
      <c r="A47" s="105" t="s">
        <v>420</v>
      </c>
      <c r="B47" s="104" t="s">
        <v>422</v>
      </c>
      <c r="C47" s="104" t="s">
        <v>124</v>
      </c>
      <c r="D47" s="106" t="s">
        <v>176</v>
      </c>
      <c r="E47" s="4"/>
      <c r="F47" s="4"/>
      <c r="G47" s="4"/>
    </row>
    <row r="48" spans="1:7" ht="12.75" customHeight="1" x14ac:dyDescent="0.25">
      <c r="A48" s="105" t="s">
        <v>421</v>
      </c>
      <c r="B48" s="104" t="s">
        <v>423</v>
      </c>
      <c r="C48" s="104" t="s">
        <v>124</v>
      </c>
      <c r="D48" s="106" t="s">
        <v>176</v>
      </c>
      <c r="E48" s="4"/>
      <c r="F48" s="4"/>
      <c r="G48" s="4"/>
    </row>
    <row r="49" spans="1:7" ht="12.75" customHeight="1" x14ac:dyDescent="0.25">
      <c r="A49" s="105" t="s">
        <v>42</v>
      </c>
      <c r="B49" s="104" t="s">
        <v>419</v>
      </c>
      <c r="C49" s="104" t="s">
        <v>124</v>
      </c>
      <c r="D49" s="106" t="s">
        <v>176</v>
      </c>
      <c r="E49" s="4"/>
      <c r="F49" s="4"/>
      <c r="G49" s="4"/>
    </row>
    <row r="50" spans="1:7" ht="12.75" customHeight="1" x14ac:dyDescent="0.25">
      <c r="A50" s="105" t="s">
        <v>218</v>
      </c>
      <c r="B50" s="14" t="s">
        <v>346</v>
      </c>
      <c r="C50" s="104" t="s">
        <v>50</v>
      </c>
      <c r="D50" s="106" t="s">
        <v>176</v>
      </c>
      <c r="E50" s="8" t="s">
        <v>512</v>
      </c>
      <c r="F50" s="4"/>
      <c r="G50" s="4"/>
    </row>
    <row r="51" spans="1:7" ht="15" customHeight="1" x14ac:dyDescent="0.25">
      <c r="A51" s="114" t="s">
        <v>296</v>
      </c>
      <c r="B51" s="109" t="s">
        <v>424</v>
      </c>
      <c r="C51" s="104" t="s">
        <v>44</v>
      </c>
      <c r="D51" s="106" t="s">
        <v>176</v>
      </c>
      <c r="E51" s="4"/>
      <c r="F51" s="4"/>
      <c r="G51" s="4"/>
    </row>
    <row r="52" spans="1:7" ht="15" x14ac:dyDescent="0.25">
      <c r="A52" s="118" t="s">
        <v>309</v>
      </c>
      <c r="B52" s="119" t="s">
        <v>427</v>
      </c>
      <c r="C52" s="104" t="s">
        <v>228</v>
      </c>
      <c r="D52" s="8" t="s">
        <v>176</v>
      </c>
      <c r="E52" s="4"/>
      <c r="F52" s="4"/>
      <c r="G52" s="4"/>
    </row>
    <row r="53" spans="1:7" ht="15" x14ac:dyDescent="0.25">
      <c r="A53" s="118" t="s">
        <v>310</v>
      </c>
      <c r="B53" s="119" t="s">
        <v>428</v>
      </c>
      <c r="C53" s="104" t="s">
        <v>228</v>
      </c>
      <c r="D53" s="8" t="s">
        <v>176</v>
      </c>
      <c r="E53" s="4"/>
      <c r="F53" s="4"/>
      <c r="G53" s="4"/>
    </row>
    <row r="54" spans="1:7" ht="15" x14ac:dyDescent="0.25">
      <c r="A54" s="118" t="s">
        <v>521</v>
      </c>
      <c r="B54" s="119" t="s">
        <v>518</v>
      </c>
      <c r="C54" s="104" t="s">
        <v>44</v>
      </c>
      <c r="D54" s="8" t="s">
        <v>176</v>
      </c>
      <c r="E54" s="4"/>
      <c r="F54" s="4"/>
      <c r="G54" s="4"/>
    </row>
    <row r="55" spans="1:7" ht="15" x14ac:dyDescent="0.25">
      <c r="A55" s="118" t="s">
        <v>520</v>
      </c>
      <c r="B55" s="119" t="s">
        <v>519</v>
      </c>
      <c r="C55" s="104" t="s">
        <v>44</v>
      </c>
      <c r="D55" s="8" t="s">
        <v>176</v>
      </c>
      <c r="E55" s="4"/>
      <c r="F55" s="4"/>
      <c r="G55" s="4"/>
    </row>
    <row r="56" spans="1:7" ht="13.5" x14ac:dyDescent="0.25">
      <c r="A56" s="105" t="s">
        <v>13</v>
      </c>
      <c r="B56" s="14" t="s">
        <v>429</v>
      </c>
      <c r="C56" s="104" t="s">
        <v>44</v>
      </c>
      <c r="D56" s="106" t="s">
        <v>63</v>
      </c>
      <c r="E56" s="4"/>
      <c r="F56" s="4"/>
      <c r="G56" s="4"/>
    </row>
    <row r="57" spans="1:7" ht="13.5" x14ac:dyDescent="0.25">
      <c r="A57" s="105" t="s">
        <v>32</v>
      </c>
      <c r="B57" s="14" t="s">
        <v>430</v>
      </c>
      <c r="C57" s="104" t="s">
        <v>44</v>
      </c>
      <c r="D57" s="106" t="s">
        <v>63</v>
      </c>
      <c r="E57" s="8" t="s">
        <v>512</v>
      </c>
      <c r="F57" s="4"/>
      <c r="G57" s="4"/>
    </row>
    <row r="58" spans="1:7" ht="13.5" x14ac:dyDescent="0.25">
      <c r="A58" s="105" t="s">
        <v>526</v>
      </c>
      <c r="B58" s="17" t="s">
        <v>527</v>
      </c>
      <c r="C58" s="104" t="s">
        <v>44</v>
      </c>
      <c r="D58" s="106" t="s">
        <v>63</v>
      </c>
      <c r="E58" s="31" t="s">
        <v>512</v>
      </c>
      <c r="F58" s="4"/>
      <c r="G58" s="4"/>
    </row>
  </sheetData>
  <autoFilter ref="A1:G58" xr:uid="{786E72A9-F9E3-4D3F-82B8-EC9196ACFA9D}">
    <sortState xmlns:xlrd2="http://schemas.microsoft.com/office/spreadsheetml/2017/richdata2" ref="A2:G58">
      <sortCondition ref="D1:D58"/>
    </sortState>
  </autoFilter>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30"/>
  <sheetViews>
    <sheetView topLeftCell="J1" workbookViewId="0">
      <pane ySplit="1" topLeftCell="A2" activePane="bottomLeft" state="frozen"/>
      <selection pane="bottomLeft" activeCell="O20" sqref="O20"/>
    </sheetView>
  </sheetViews>
  <sheetFormatPr defaultRowHeight="12.75" x14ac:dyDescent="0.2"/>
  <cols>
    <col min="1" max="1" width="8.42578125" customWidth="1"/>
    <col min="2" max="2" width="8.140625" style="56" customWidth="1"/>
    <col min="3" max="3" width="13.140625" customWidth="1"/>
    <col min="4" max="4" width="28.5703125" style="54" customWidth="1"/>
    <col min="5" max="5" width="56.42578125" customWidth="1"/>
    <col min="6" max="6" width="19.42578125" style="56" customWidth="1"/>
    <col min="7" max="7" width="25.5703125" style="56" customWidth="1"/>
    <col min="8" max="9" width="25.5703125" customWidth="1"/>
    <col min="10" max="10" width="20.85546875" bestFit="1" customWidth="1"/>
    <col min="11" max="11" width="27.7109375" customWidth="1"/>
    <col min="12" max="12" width="32.85546875" customWidth="1"/>
    <col min="13" max="13" width="25.28515625" customWidth="1"/>
    <col min="14" max="14" width="10.28515625" customWidth="1"/>
    <col min="15" max="15" width="44.42578125" style="6" customWidth="1"/>
  </cols>
  <sheetData>
    <row r="1" spans="1:15" x14ac:dyDescent="0.2">
      <c r="A1" s="1" t="s">
        <v>5</v>
      </c>
      <c r="B1" s="1" t="s">
        <v>3</v>
      </c>
      <c r="C1" s="1" t="s">
        <v>477</v>
      </c>
      <c r="D1" s="69" t="s">
        <v>4</v>
      </c>
      <c r="E1" s="1" t="s">
        <v>322</v>
      </c>
      <c r="F1" s="1" t="s">
        <v>276</v>
      </c>
      <c r="G1" s="2" t="s">
        <v>6</v>
      </c>
      <c r="H1" s="1" t="s">
        <v>358</v>
      </c>
      <c r="I1" s="1" t="s">
        <v>359</v>
      </c>
      <c r="J1" s="1" t="s">
        <v>360</v>
      </c>
      <c r="K1" s="2" t="s">
        <v>55</v>
      </c>
      <c r="L1" s="2" t="s">
        <v>56</v>
      </c>
      <c r="M1" s="3" t="s">
        <v>61</v>
      </c>
      <c r="N1" s="5" t="s">
        <v>152</v>
      </c>
      <c r="O1" s="5" t="s">
        <v>90</v>
      </c>
    </row>
    <row r="2" spans="1:15" s="23" customFormat="1" ht="15" customHeight="1" x14ac:dyDescent="0.25">
      <c r="A2" s="70">
        <v>1</v>
      </c>
      <c r="B2" s="18">
        <v>2058</v>
      </c>
      <c r="C2" s="18" t="s">
        <v>197</v>
      </c>
      <c r="D2" s="49" t="s">
        <v>16</v>
      </c>
      <c r="E2" s="71" t="s">
        <v>355</v>
      </c>
      <c r="F2" s="18" t="s">
        <v>277</v>
      </c>
      <c r="G2" s="18" t="s">
        <v>44</v>
      </c>
      <c r="H2" s="20">
        <v>43709</v>
      </c>
      <c r="I2" s="20">
        <v>44804</v>
      </c>
      <c r="J2" s="19">
        <v>43602</v>
      </c>
      <c r="K2" s="24" t="s">
        <v>57</v>
      </c>
      <c r="L2" s="24" t="s">
        <v>60</v>
      </c>
      <c r="M2" s="24" t="s">
        <v>62</v>
      </c>
      <c r="N2" s="26" t="s">
        <v>156</v>
      </c>
      <c r="O2" s="26" t="s">
        <v>157</v>
      </c>
    </row>
    <row r="3" spans="1:15" s="23" customFormat="1" ht="13.5" x14ac:dyDescent="0.25">
      <c r="A3" s="70">
        <v>2</v>
      </c>
      <c r="B3" s="18">
        <v>2059</v>
      </c>
      <c r="C3" s="18" t="s">
        <v>197</v>
      </c>
      <c r="D3" s="49" t="s">
        <v>17</v>
      </c>
      <c r="E3" s="71" t="s">
        <v>356</v>
      </c>
      <c r="F3" s="18" t="s">
        <v>277</v>
      </c>
      <c r="G3" s="18" t="s">
        <v>44</v>
      </c>
      <c r="H3" s="20">
        <v>43709</v>
      </c>
      <c r="I3" s="20">
        <v>44804</v>
      </c>
      <c r="J3" s="19">
        <v>43659</v>
      </c>
      <c r="K3" s="24" t="s">
        <v>57</v>
      </c>
      <c r="L3" s="24" t="s">
        <v>60</v>
      </c>
      <c r="M3" s="24" t="s">
        <v>62</v>
      </c>
      <c r="N3" s="26" t="s">
        <v>156</v>
      </c>
      <c r="O3" s="26" t="s">
        <v>157</v>
      </c>
    </row>
    <row r="4" spans="1:15" s="23" customFormat="1" ht="15" customHeight="1" x14ac:dyDescent="0.25">
      <c r="A4" s="70">
        <v>3</v>
      </c>
      <c r="B4" s="18">
        <v>2060</v>
      </c>
      <c r="C4" s="18" t="s">
        <v>197</v>
      </c>
      <c r="D4" s="49" t="s">
        <v>18</v>
      </c>
      <c r="E4" s="71" t="s">
        <v>357</v>
      </c>
      <c r="F4" s="18" t="s">
        <v>277</v>
      </c>
      <c r="G4" s="18" t="s">
        <v>44</v>
      </c>
      <c r="H4" s="20">
        <v>43709</v>
      </c>
      <c r="I4" s="20">
        <v>44804</v>
      </c>
      <c r="J4" s="19">
        <v>43631</v>
      </c>
      <c r="K4" s="24" t="s">
        <v>57</v>
      </c>
      <c r="L4" s="24" t="s">
        <v>60</v>
      </c>
      <c r="M4" s="24" t="s">
        <v>62</v>
      </c>
      <c r="N4" s="26" t="s">
        <v>156</v>
      </c>
      <c r="O4" s="26" t="s">
        <v>157</v>
      </c>
    </row>
    <row r="5" spans="1:15" s="10" customFormat="1" ht="15" customHeight="1" x14ac:dyDescent="0.25">
      <c r="A5" s="35">
        <v>4</v>
      </c>
      <c r="B5" s="28">
        <v>2051</v>
      </c>
      <c r="C5" s="28" t="s">
        <v>197</v>
      </c>
      <c r="D5" s="50" t="s">
        <v>14</v>
      </c>
      <c r="E5" s="72" t="s">
        <v>361</v>
      </c>
      <c r="F5" s="28" t="s">
        <v>278</v>
      </c>
      <c r="G5" s="28" t="s">
        <v>48</v>
      </c>
      <c r="H5" s="28"/>
      <c r="I5" s="28"/>
      <c r="J5" s="29">
        <v>43653</v>
      </c>
      <c r="K5" s="30" t="s">
        <v>121</v>
      </c>
      <c r="L5" s="30" t="s">
        <v>122</v>
      </c>
      <c r="M5" s="30" t="s">
        <v>118</v>
      </c>
      <c r="N5" s="9" t="s">
        <v>153</v>
      </c>
      <c r="O5" s="32" t="s">
        <v>125</v>
      </c>
    </row>
    <row r="6" spans="1:15" s="10" customFormat="1" ht="15" customHeight="1" x14ac:dyDescent="0.25">
      <c r="A6" s="35">
        <v>5</v>
      </c>
      <c r="B6" s="28">
        <v>2053</v>
      </c>
      <c r="C6" s="28" t="s">
        <v>197</v>
      </c>
      <c r="D6" s="50" t="s">
        <v>15</v>
      </c>
      <c r="E6" s="72" t="s">
        <v>362</v>
      </c>
      <c r="F6" s="28" t="s">
        <v>278</v>
      </c>
      <c r="G6" s="28" t="s">
        <v>49</v>
      </c>
      <c r="H6" s="28"/>
      <c r="I6" s="28"/>
      <c r="J6" s="29">
        <v>43658</v>
      </c>
      <c r="K6" s="30" t="s">
        <v>116</v>
      </c>
      <c r="L6" s="30" t="s">
        <v>117</v>
      </c>
      <c r="M6" s="30" t="s">
        <v>118</v>
      </c>
      <c r="N6" s="9" t="s">
        <v>153</v>
      </c>
      <c r="O6" s="32" t="s">
        <v>125</v>
      </c>
    </row>
    <row r="7" spans="1:15" s="10" customFormat="1" ht="15" customHeight="1" x14ac:dyDescent="0.25">
      <c r="A7" s="35">
        <v>6</v>
      </c>
      <c r="B7" s="28">
        <v>2169</v>
      </c>
      <c r="C7" s="28" t="s">
        <v>197</v>
      </c>
      <c r="D7" s="50" t="s">
        <v>131</v>
      </c>
      <c r="E7" s="72" t="s">
        <v>363</v>
      </c>
      <c r="F7" s="28" t="s">
        <v>278</v>
      </c>
      <c r="G7" s="28" t="s">
        <v>92</v>
      </c>
      <c r="H7" s="28"/>
      <c r="I7" s="28"/>
      <c r="J7" s="29">
        <v>43803</v>
      </c>
      <c r="K7" s="30" t="s">
        <v>119</v>
      </c>
      <c r="L7" s="30" t="s">
        <v>120</v>
      </c>
      <c r="M7" s="30" t="s">
        <v>118</v>
      </c>
      <c r="N7" s="9" t="s">
        <v>153</v>
      </c>
      <c r="O7" s="32" t="s">
        <v>125</v>
      </c>
    </row>
    <row r="8" spans="1:15" s="10" customFormat="1" ht="15" customHeight="1" x14ac:dyDescent="0.25">
      <c r="A8" s="35">
        <v>7</v>
      </c>
      <c r="B8" s="30">
        <v>2055</v>
      </c>
      <c r="C8" s="28" t="s">
        <v>197</v>
      </c>
      <c r="D8" s="51" t="s">
        <v>123</v>
      </c>
      <c r="E8" s="30"/>
      <c r="F8" s="30" t="s">
        <v>278</v>
      </c>
      <c r="G8" s="30" t="s">
        <v>124</v>
      </c>
      <c r="H8" s="30"/>
      <c r="I8" s="30"/>
      <c r="J8" s="29">
        <v>43674</v>
      </c>
      <c r="K8" s="30" t="s">
        <v>116</v>
      </c>
      <c r="L8" s="30" t="s">
        <v>117</v>
      </c>
      <c r="M8" s="30" t="s">
        <v>118</v>
      </c>
      <c r="N8" s="9" t="s">
        <v>153</v>
      </c>
      <c r="O8" s="32" t="s">
        <v>125</v>
      </c>
    </row>
    <row r="9" spans="1:15" s="10" customFormat="1" ht="15" customHeight="1" x14ac:dyDescent="0.25">
      <c r="A9" s="35">
        <v>8</v>
      </c>
      <c r="B9" s="30">
        <v>2054</v>
      </c>
      <c r="C9" s="28" t="s">
        <v>197</v>
      </c>
      <c r="D9" s="51" t="s">
        <v>126</v>
      </c>
      <c r="E9" s="30"/>
      <c r="F9" s="30" t="s">
        <v>278</v>
      </c>
      <c r="G9" s="30" t="s">
        <v>124</v>
      </c>
      <c r="H9" s="30"/>
      <c r="I9" s="30"/>
      <c r="J9" s="29">
        <v>43628</v>
      </c>
      <c r="K9" s="30" t="s">
        <v>116</v>
      </c>
      <c r="L9" s="30" t="s">
        <v>117</v>
      </c>
      <c r="M9" s="30" t="s">
        <v>118</v>
      </c>
      <c r="N9" s="9" t="s">
        <v>153</v>
      </c>
      <c r="O9" s="32" t="s">
        <v>125</v>
      </c>
    </row>
    <row r="10" spans="1:15" s="10" customFormat="1" ht="15" customHeight="1" x14ac:dyDescent="0.25">
      <c r="A10" s="35">
        <v>9</v>
      </c>
      <c r="B10" s="30">
        <v>2056</v>
      </c>
      <c r="C10" s="28" t="s">
        <v>197</v>
      </c>
      <c r="D10" s="51" t="s">
        <v>127</v>
      </c>
      <c r="E10" s="9" t="s">
        <v>364</v>
      </c>
      <c r="F10" s="30" t="s">
        <v>278</v>
      </c>
      <c r="G10" s="30" t="s">
        <v>44</v>
      </c>
      <c r="H10" s="30"/>
      <c r="I10" s="30"/>
      <c r="J10" s="29">
        <v>43683</v>
      </c>
      <c r="K10" s="30" t="s">
        <v>116</v>
      </c>
      <c r="L10" s="30" t="s">
        <v>117</v>
      </c>
      <c r="M10" s="30" t="s">
        <v>118</v>
      </c>
      <c r="N10" s="9" t="s">
        <v>153</v>
      </c>
      <c r="O10" s="32" t="s">
        <v>125</v>
      </c>
    </row>
    <row r="11" spans="1:15" s="10" customFormat="1" ht="15" customHeight="1" x14ac:dyDescent="0.25">
      <c r="A11" s="35">
        <v>10</v>
      </c>
      <c r="B11" s="30"/>
      <c r="C11" s="28" t="s">
        <v>197</v>
      </c>
      <c r="D11" s="51" t="s">
        <v>128</v>
      </c>
      <c r="E11" s="30" t="s">
        <v>343</v>
      </c>
      <c r="F11" s="30" t="s">
        <v>278</v>
      </c>
      <c r="G11" s="30" t="s">
        <v>50</v>
      </c>
      <c r="H11" s="30"/>
      <c r="I11" s="30"/>
      <c r="J11" s="29">
        <v>43531</v>
      </c>
      <c r="K11" s="30" t="s">
        <v>119</v>
      </c>
      <c r="L11" s="30" t="s">
        <v>129</v>
      </c>
      <c r="M11" s="30" t="s">
        <v>118</v>
      </c>
      <c r="N11" s="9" t="s">
        <v>153</v>
      </c>
      <c r="O11" s="32" t="s">
        <v>125</v>
      </c>
    </row>
    <row r="12" spans="1:15" s="10" customFormat="1" ht="15" customHeight="1" x14ac:dyDescent="0.25">
      <c r="A12" s="35">
        <v>11</v>
      </c>
      <c r="B12" s="30">
        <v>2066</v>
      </c>
      <c r="C12" s="28" t="s">
        <v>197</v>
      </c>
      <c r="D12" s="51" t="s">
        <v>130</v>
      </c>
      <c r="E12" s="28" t="s">
        <v>342</v>
      </c>
      <c r="F12" s="30" t="s">
        <v>278</v>
      </c>
      <c r="G12" s="30" t="s">
        <v>50</v>
      </c>
      <c r="H12" s="30"/>
      <c r="I12" s="30"/>
      <c r="J12" s="29">
        <v>43543</v>
      </c>
      <c r="K12" s="30" t="s">
        <v>119</v>
      </c>
      <c r="L12" s="30" t="s">
        <v>129</v>
      </c>
      <c r="M12" s="30" t="s">
        <v>118</v>
      </c>
      <c r="N12" s="9" t="s">
        <v>153</v>
      </c>
      <c r="O12" s="32" t="s">
        <v>125</v>
      </c>
    </row>
    <row r="13" spans="1:15" s="10" customFormat="1" ht="15" customHeight="1" x14ac:dyDescent="0.25">
      <c r="A13" s="35">
        <v>12</v>
      </c>
      <c r="B13" s="30"/>
      <c r="C13" s="28" t="s">
        <v>197</v>
      </c>
      <c r="D13" s="51" t="s">
        <v>132</v>
      </c>
      <c r="E13" s="30"/>
      <c r="F13" s="30" t="s">
        <v>278</v>
      </c>
      <c r="G13" s="30" t="s">
        <v>43</v>
      </c>
      <c r="H13" s="30"/>
      <c r="I13" s="30"/>
      <c r="J13" s="29">
        <v>43435</v>
      </c>
      <c r="K13" s="30" t="s">
        <v>133</v>
      </c>
      <c r="L13" s="30" t="s">
        <v>134</v>
      </c>
      <c r="M13" s="30" t="s">
        <v>118</v>
      </c>
      <c r="N13" s="9" t="s">
        <v>153</v>
      </c>
      <c r="O13" s="32" t="s">
        <v>125</v>
      </c>
    </row>
    <row r="14" spans="1:15" s="10" customFormat="1" ht="15" customHeight="1" x14ac:dyDescent="0.25">
      <c r="A14" s="35">
        <v>13</v>
      </c>
      <c r="B14" s="30"/>
      <c r="C14" s="28" t="s">
        <v>197</v>
      </c>
      <c r="D14" s="51" t="s">
        <v>135</v>
      </c>
      <c r="E14" s="30"/>
      <c r="F14" s="30" t="s">
        <v>278</v>
      </c>
      <c r="G14" s="30" t="s">
        <v>43</v>
      </c>
      <c r="H14" s="30"/>
      <c r="I14" s="30"/>
      <c r="J14" s="29">
        <v>43435</v>
      </c>
      <c r="K14" s="30" t="s">
        <v>133</v>
      </c>
      <c r="L14" s="30" t="s">
        <v>134</v>
      </c>
      <c r="M14" s="30" t="s">
        <v>118</v>
      </c>
      <c r="N14" s="9" t="s">
        <v>153</v>
      </c>
      <c r="O14" s="32" t="s">
        <v>125</v>
      </c>
    </row>
    <row r="15" spans="1:15" s="10" customFormat="1" ht="15" customHeight="1" x14ac:dyDescent="0.25">
      <c r="A15" s="35">
        <v>14</v>
      </c>
      <c r="B15" s="30"/>
      <c r="C15" s="28" t="s">
        <v>197</v>
      </c>
      <c r="D15" s="51" t="s">
        <v>136</v>
      </c>
      <c r="E15" s="30"/>
      <c r="F15" s="30" t="s">
        <v>278</v>
      </c>
      <c r="G15" s="30" t="s">
        <v>137</v>
      </c>
      <c r="H15" s="30"/>
      <c r="I15" s="30"/>
      <c r="J15" s="29">
        <v>43435</v>
      </c>
      <c r="K15" s="30" t="s">
        <v>133</v>
      </c>
      <c r="L15" s="30" t="s">
        <v>134</v>
      </c>
      <c r="M15" s="30" t="s">
        <v>118</v>
      </c>
      <c r="N15" s="9" t="s">
        <v>153</v>
      </c>
      <c r="O15" s="32" t="s">
        <v>125</v>
      </c>
    </row>
    <row r="16" spans="1:15" s="10" customFormat="1" ht="15" customHeight="1" x14ac:dyDescent="0.25">
      <c r="A16" s="35">
        <v>15</v>
      </c>
      <c r="B16" s="30">
        <v>2131</v>
      </c>
      <c r="C16" s="28" t="s">
        <v>197</v>
      </c>
      <c r="D16" s="51" t="s">
        <v>138</v>
      </c>
      <c r="E16" s="30" t="s">
        <v>492</v>
      </c>
      <c r="F16" s="30" t="s">
        <v>278</v>
      </c>
      <c r="G16" s="30" t="s">
        <v>48</v>
      </c>
      <c r="H16" s="30"/>
      <c r="I16" s="30"/>
      <c r="J16" s="29">
        <v>43708</v>
      </c>
      <c r="K16" s="30" t="s">
        <v>139</v>
      </c>
      <c r="L16" s="30" t="s">
        <v>122</v>
      </c>
      <c r="M16" s="30" t="s">
        <v>118</v>
      </c>
      <c r="N16" s="9" t="s">
        <v>153</v>
      </c>
      <c r="O16" s="32" t="s">
        <v>125</v>
      </c>
    </row>
    <row r="17" spans="1:15" s="10" customFormat="1" ht="15" customHeight="1" x14ac:dyDescent="0.25">
      <c r="A17" s="35">
        <v>16</v>
      </c>
      <c r="B17" s="30">
        <v>2132</v>
      </c>
      <c r="C17" s="28" t="s">
        <v>197</v>
      </c>
      <c r="D17" s="51" t="s">
        <v>140</v>
      </c>
      <c r="E17" s="30"/>
      <c r="F17" s="30" t="s">
        <v>278</v>
      </c>
      <c r="G17" s="30" t="s">
        <v>48</v>
      </c>
      <c r="H17" s="30"/>
      <c r="I17" s="30"/>
      <c r="J17" s="29">
        <v>43706</v>
      </c>
      <c r="K17" s="30" t="s">
        <v>139</v>
      </c>
      <c r="L17" s="30" t="s">
        <v>122</v>
      </c>
      <c r="M17" s="30" t="s">
        <v>118</v>
      </c>
      <c r="N17" s="9" t="s">
        <v>153</v>
      </c>
      <c r="O17" s="32" t="s">
        <v>125</v>
      </c>
    </row>
    <row r="18" spans="1:15" s="10" customFormat="1" ht="15" customHeight="1" x14ac:dyDescent="0.25">
      <c r="A18" s="35">
        <v>17</v>
      </c>
      <c r="B18" s="30">
        <v>2134</v>
      </c>
      <c r="C18" s="28" t="s">
        <v>197</v>
      </c>
      <c r="D18" s="51" t="s">
        <v>141</v>
      </c>
      <c r="E18" s="30"/>
      <c r="F18" s="30" t="s">
        <v>278</v>
      </c>
      <c r="G18" s="30" t="s">
        <v>48</v>
      </c>
      <c r="H18" s="30"/>
      <c r="I18" s="30"/>
      <c r="J18" s="29">
        <v>43453</v>
      </c>
      <c r="K18" s="30" t="s">
        <v>121</v>
      </c>
      <c r="L18" s="30" t="s">
        <v>122</v>
      </c>
      <c r="M18" s="30" t="s">
        <v>118</v>
      </c>
      <c r="N18" s="9" t="s">
        <v>153</v>
      </c>
      <c r="O18" s="32" t="s">
        <v>125</v>
      </c>
    </row>
    <row r="19" spans="1:15" s="10" customFormat="1" ht="15" customHeight="1" x14ac:dyDescent="0.25">
      <c r="A19" s="35">
        <v>18</v>
      </c>
      <c r="B19" s="30"/>
      <c r="C19" s="28" t="s">
        <v>197</v>
      </c>
      <c r="D19" s="51" t="s">
        <v>142</v>
      </c>
      <c r="E19" s="30"/>
      <c r="F19" s="30" t="s">
        <v>278</v>
      </c>
      <c r="G19" s="30" t="s">
        <v>48</v>
      </c>
      <c r="H19" s="30"/>
      <c r="I19" s="30"/>
      <c r="J19" s="29">
        <v>43659</v>
      </c>
      <c r="K19" s="30" t="s">
        <v>121</v>
      </c>
      <c r="L19" s="30" t="s">
        <v>122</v>
      </c>
      <c r="M19" s="30" t="s">
        <v>118</v>
      </c>
      <c r="N19" s="9" t="s">
        <v>153</v>
      </c>
      <c r="O19" s="32" t="s">
        <v>125</v>
      </c>
    </row>
    <row r="20" spans="1:15" s="10" customFormat="1" ht="15" customHeight="1" x14ac:dyDescent="0.25">
      <c r="A20" s="35">
        <v>19</v>
      </c>
      <c r="B20" s="30">
        <v>2133</v>
      </c>
      <c r="C20" s="28" t="s">
        <v>197</v>
      </c>
      <c r="D20" s="51" t="s">
        <v>143</v>
      </c>
      <c r="E20" s="30"/>
      <c r="F20" s="30" t="s">
        <v>278</v>
      </c>
      <c r="G20" s="30" t="s">
        <v>48</v>
      </c>
      <c r="H20" s="30"/>
      <c r="I20" s="30"/>
      <c r="J20" s="29">
        <v>43666</v>
      </c>
      <c r="K20" s="30" t="s">
        <v>121</v>
      </c>
      <c r="L20" s="30" t="s">
        <v>122</v>
      </c>
      <c r="M20" s="30" t="s">
        <v>118</v>
      </c>
      <c r="N20" s="9" t="s">
        <v>153</v>
      </c>
      <c r="O20" s="32" t="s">
        <v>125</v>
      </c>
    </row>
    <row r="21" spans="1:15" s="10" customFormat="1" ht="15" customHeight="1" x14ac:dyDescent="0.25">
      <c r="A21" s="35">
        <v>20</v>
      </c>
      <c r="B21" s="30"/>
      <c r="C21" s="28" t="s">
        <v>197</v>
      </c>
      <c r="D21" s="51" t="s">
        <v>144</v>
      </c>
      <c r="E21" s="30"/>
      <c r="F21" s="30" t="s">
        <v>278</v>
      </c>
      <c r="G21" s="30" t="s">
        <v>47</v>
      </c>
      <c r="H21" s="30"/>
      <c r="I21" s="30"/>
      <c r="J21" s="29">
        <v>43441</v>
      </c>
      <c r="K21" s="30" t="s">
        <v>145</v>
      </c>
      <c r="L21" s="30" t="s">
        <v>122</v>
      </c>
      <c r="M21" s="30" t="s">
        <v>118</v>
      </c>
      <c r="N21" s="9" t="s">
        <v>153</v>
      </c>
      <c r="O21" s="32" t="s">
        <v>125</v>
      </c>
    </row>
    <row r="22" spans="1:15" s="10" customFormat="1" ht="15" customHeight="1" x14ac:dyDescent="0.25">
      <c r="A22" s="35">
        <v>21</v>
      </c>
      <c r="B22" s="30"/>
      <c r="C22" s="28" t="s">
        <v>197</v>
      </c>
      <c r="D22" s="51" t="s">
        <v>146</v>
      </c>
      <c r="E22" s="30"/>
      <c r="F22" s="30" t="s">
        <v>278</v>
      </c>
      <c r="G22" s="30" t="s">
        <v>47</v>
      </c>
      <c r="H22" s="30"/>
      <c r="I22" s="30"/>
      <c r="J22" s="29">
        <v>43392</v>
      </c>
      <c r="K22" s="30" t="s">
        <v>145</v>
      </c>
      <c r="L22" s="30" t="s">
        <v>122</v>
      </c>
      <c r="M22" s="30" t="s">
        <v>118</v>
      </c>
      <c r="N22" s="31" t="s">
        <v>153</v>
      </c>
      <c r="O22" s="32" t="s">
        <v>125</v>
      </c>
    </row>
    <row r="23" spans="1:15" s="23" customFormat="1" ht="15" customHeight="1" x14ac:dyDescent="0.25">
      <c r="A23" s="70">
        <v>22</v>
      </c>
      <c r="B23" s="18"/>
      <c r="C23" s="18" t="s">
        <v>197</v>
      </c>
      <c r="D23" s="52" t="s">
        <v>64</v>
      </c>
      <c r="E23" s="24" t="s">
        <v>367</v>
      </c>
      <c r="F23" s="24" t="s">
        <v>278</v>
      </c>
      <c r="G23" s="24" t="s">
        <v>44</v>
      </c>
      <c r="H23" s="19">
        <v>43788</v>
      </c>
      <c r="I23" s="19">
        <v>44883</v>
      </c>
      <c r="J23" s="19">
        <v>43788</v>
      </c>
      <c r="K23" s="24" t="s">
        <v>368</v>
      </c>
      <c r="L23" s="24" t="s">
        <v>369</v>
      </c>
      <c r="M23" s="24" t="s">
        <v>64</v>
      </c>
      <c r="N23" s="25" t="s">
        <v>156</v>
      </c>
      <c r="O23" s="26" t="s">
        <v>157</v>
      </c>
    </row>
    <row r="24" spans="1:15" s="23" customFormat="1" ht="15" customHeight="1" x14ac:dyDescent="0.25">
      <c r="A24" s="70">
        <v>22</v>
      </c>
      <c r="B24" s="18">
        <v>2205</v>
      </c>
      <c r="C24" s="18" t="s">
        <v>197</v>
      </c>
      <c r="D24" s="49" t="s">
        <v>192</v>
      </c>
      <c r="E24" s="71" t="s">
        <v>365</v>
      </c>
      <c r="F24" s="18" t="s">
        <v>278</v>
      </c>
      <c r="G24" s="18" t="s">
        <v>44</v>
      </c>
      <c r="H24" s="20">
        <v>44162</v>
      </c>
      <c r="I24" s="20">
        <f>H24+180</f>
        <v>44342</v>
      </c>
      <c r="J24" s="19"/>
      <c r="K24" s="24" t="s">
        <v>368</v>
      </c>
      <c r="L24" s="24" t="s">
        <v>366</v>
      </c>
      <c r="M24" s="24" t="s">
        <v>64</v>
      </c>
      <c r="N24" s="25" t="s">
        <v>156</v>
      </c>
      <c r="O24" s="26" t="s">
        <v>157</v>
      </c>
    </row>
    <row r="25" spans="1:15" s="23" customFormat="1" ht="15" customHeight="1" x14ac:dyDescent="0.25">
      <c r="A25" s="70">
        <v>23</v>
      </c>
      <c r="B25" s="18">
        <v>2187</v>
      </c>
      <c r="C25" s="18" t="s">
        <v>197</v>
      </c>
      <c r="D25" s="49" t="s">
        <v>37</v>
      </c>
      <c r="E25" s="71" t="s">
        <v>344</v>
      </c>
      <c r="F25" s="18" t="s">
        <v>278</v>
      </c>
      <c r="G25" s="18" t="s">
        <v>50</v>
      </c>
      <c r="H25" s="20">
        <v>43997</v>
      </c>
      <c r="I25" s="20">
        <v>44361</v>
      </c>
      <c r="J25" s="20">
        <v>43997</v>
      </c>
      <c r="K25" s="21" t="s">
        <v>159</v>
      </c>
      <c r="L25" s="21" t="s">
        <v>372</v>
      </c>
      <c r="M25" s="24" t="s">
        <v>102</v>
      </c>
      <c r="N25" s="25" t="s">
        <v>153</v>
      </c>
      <c r="O25" s="22" t="s">
        <v>157</v>
      </c>
    </row>
    <row r="26" spans="1:15" s="23" customFormat="1" ht="15" customHeight="1" x14ac:dyDescent="0.25">
      <c r="A26" s="70">
        <v>24</v>
      </c>
      <c r="B26" s="68"/>
      <c r="C26" s="68" t="s">
        <v>197</v>
      </c>
      <c r="D26" s="49" t="s">
        <v>158</v>
      </c>
      <c r="E26" s="18" t="s">
        <v>370</v>
      </c>
      <c r="F26" s="18" t="s">
        <v>278</v>
      </c>
      <c r="G26" s="18" t="s">
        <v>93</v>
      </c>
      <c r="H26" s="19">
        <v>44068</v>
      </c>
      <c r="I26" s="20">
        <v>45162</v>
      </c>
      <c r="J26" s="19">
        <v>44068</v>
      </c>
      <c r="K26" s="21" t="s">
        <v>100</v>
      </c>
      <c r="L26" s="21" t="s">
        <v>101</v>
      </c>
      <c r="M26" s="24" t="s">
        <v>102</v>
      </c>
      <c r="N26" s="26" t="s">
        <v>153</v>
      </c>
      <c r="O26" s="26" t="s">
        <v>157</v>
      </c>
    </row>
    <row r="27" spans="1:15" s="23" customFormat="1" ht="15" customHeight="1" x14ac:dyDescent="0.25">
      <c r="A27" s="70">
        <v>25</v>
      </c>
      <c r="B27" s="18">
        <v>2017</v>
      </c>
      <c r="C27" s="18" t="s">
        <v>197</v>
      </c>
      <c r="D27" s="49" t="s">
        <v>1</v>
      </c>
      <c r="E27" s="71" t="s">
        <v>374</v>
      </c>
      <c r="F27" s="18" t="s">
        <v>277</v>
      </c>
      <c r="G27" s="18" t="s">
        <v>44</v>
      </c>
      <c r="H27" s="20">
        <v>43709</v>
      </c>
      <c r="I27" s="20">
        <v>44804</v>
      </c>
      <c r="J27" s="19">
        <v>43709</v>
      </c>
      <c r="K27" s="24" t="s">
        <v>83</v>
      </c>
      <c r="L27" s="24" t="s">
        <v>84</v>
      </c>
      <c r="M27" s="24" t="s">
        <v>85</v>
      </c>
      <c r="N27" s="26" t="s">
        <v>156</v>
      </c>
      <c r="O27" s="26" t="s">
        <v>157</v>
      </c>
    </row>
    <row r="28" spans="1:15" s="23" customFormat="1" ht="15" customHeight="1" x14ac:dyDescent="0.25">
      <c r="A28" s="70">
        <v>26</v>
      </c>
      <c r="B28" s="24">
        <v>2040</v>
      </c>
      <c r="C28" s="24" t="s">
        <v>98</v>
      </c>
      <c r="D28" s="52" t="s">
        <v>96</v>
      </c>
      <c r="E28" s="24" t="s">
        <v>375</v>
      </c>
      <c r="F28" s="24" t="s">
        <v>498</v>
      </c>
      <c r="G28" s="24" t="s">
        <v>97</v>
      </c>
      <c r="H28" s="20">
        <v>43709</v>
      </c>
      <c r="I28" s="20">
        <v>44804</v>
      </c>
      <c r="J28" s="19">
        <v>43556</v>
      </c>
      <c r="K28" s="24" t="s">
        <v>99</v>
      </c>
      <c r="L28" s="24" t="s">
        <v>160</v>
      </c>
      <c r="M28" s="24" t="s">
        <v>191</v>
      </c>
      <c r="N28" s="25" t="s">
        <v>156</v>
      </c>
      <c r="O28" s="22" t="s">
        <v>157</v>
      </c>
    </row>
    <row r="29" spans="1:15" s="23" customFormat="1" ht="15" customHeight="1" x14ac:dyDescent="0.25">
      <c r="A29" s="70">
        <v>27</v>
      </c>
      <c r="B29" s="24"/>
      <c r="C29" s="24" t="s">
        <v>95</v>
      </c>
      <c r="D29" s="52" t="s">
        <v>96</v>
      </c>
      <c r="E29" s="24" t="s">
        <v>375</v>
      </c>
      <c r="F29" s="24" t="s">
        <v>498</v>
      </c>
      <c r="G29" s="24" t="s">
        <v>97</v>
      </c>
      <c r="H29" s="20">
        <v>43709</v>
      </c>
      <c r="I29" s="20">
        <v>44804</v>
      </c>
      <c r="J29" s="19">
        <v>43556</v>
      </c>
      <c r="K29" s="24" t="s">
        <v>99</v>
      </c>
      <c r="L29" s="24" t="s">
        <v>160</v>
      </c>
      <c r="M29" s="24" t="s">
        <v>191</v>
      </c>
      <c r="N29" s="25" t="s">
        <v>156</v>
      </c>
      <c r="O29" s="22" t="s">
        <v>157</v>
      </c>
    </row>
    <row r="30" spans="1:15" s="23" customFormat="1" ht="15" customHeight="1" x14ac:dyDescent="0.25">
      <c r="A30" s="70">
        <v>28</v>
      </c>
      <c r="B30" s="24">
        <v>2129</v>
      </c>
      <c r="C30" s="24" t="s">
        <v>197</v>
      </c>
      <c r="D30" s="52" t="s">
        <v>148</v>
      </c>
      <c r="E30" s="24" t="s">
        <v>376</v>
      </c>
      <c r="F30" s="24" t="s">
        <v>278</v>
      </c>
      <c r="G30" s="24" t="s">
        <v>149</v>
      </c>
      <c r="H30" s="20">
        <v>43709</v>
      </c>
      <c r="I30" s="20">
        <v>44074</v>
      </c>
      <c r="J30" s="19"/>
      <c r="K30" s="24" t="s">
        <v>150</v>
      </c>
      <c r="L30" s="24" t="s">
        <v>151</v>
      </c>
      <c r="M30" s="24" t="s">
        <v>147</v>
      </c>
      <c r="N30" s="26" t="s">
        <v>153</v>
      </c>
      <c r="O30" s="22" t="s">
        <v>157</v>
      </c>
    </row>
    <row r="31" spans="1:15" s="23" customFormat="1" ht="15" customHeight="1" x14ac:dyDescent="0.25">
      <c r="A31" s="70">
        <v>29</v>
      </c>
      <c r="B31" s="18">
        <v>2202</v>
      </c>
      <c r="C31" s="18" t="s">
        <v>197</v>
      </c>
      <c r="D31" s="49" t="s">
        <v>41</v>
      </c>
      <c r="E31" s="18" t="s">
        <v>377</v>
      </c>
      <c r="F31" s="18" t="s">
        <v>498</v>
      </c>
      <c r="G31" s="18" t="s">
        <v>44</v>
      </c>
      <c r="H31" s="20">
        <v>44124</v>
      </c>
      <c r="I31" s="20">
        <f>H31+180</f>
        <v>44304</v>
      </c>
      <c r="J31" s="19">
        <v>44124</v>
      </c>
      <c r="K31" s="24" t="s">
        <v>166</v>
      </c>
      <c r="L31" s="24" t="s">
        <v>167</v>
      </c>
      <c r="M31" s="24" t="s">
        <v>168</v>
      </c>
      <c r="N31" s="26" t="s">
        <v>156</v>
      </c>
      <c r="O31" s="27" t="s">
        <v>157</v>
      </c>
    </row>
    <row r="32" spans="1:15" s="23" customFormat="1" ht="15" customHeight="1" x14ac:dyDescent="0.25">
      <c r="A32" s="70">
        <v>30</v>
      </c>
      <c r="B32" s="18">
        <v>2073</v>
      </c>
      <c r="C32" s="18" t="s">
        <v>197</v>
      </c>
      <c r="D32" s="49" t="s">
        <v>25</v>
      </c>
      <c r="E32" s="71" t="s">
        <v>378</v>
      </c>
      <c r="F32" s="18" t="s">
        <v>277</v>
      </c>
      <c r="G32" s="18" t="s">
        <v>44</v>
      </c>
      <c r="H32" s="19">
        <v>43709</v>
      </c>
      <c r="I32" s="20">
        <v>44074</v>
      </c>
      <c r="J32" s="19">
        <v>43709</v>
      </c>
      <c r="K32" s="24" t="s">
        <v>169</v>
      </c>
      <c r="L32" s="24" t="s">
        <v>173</v>
      </c>
      <c r="M32" s="24" t="s">
        <v>91</v>
      </c>
      <c r="N32" s="26" t="s">
        <v>156</v>
      </c>
      <c r="O32" s="25" t="s">
        <v>381</v>
      </c>
    </row>
    <row r="33" spans="1:16" s="23" customFormat="1" ht="15" customHeight="1" x14ac:dyDescent="0.25">
      <c r="A33" s="70">
        <v>31</v>
      </c>
      <c r="B33" s="18">
        <v>2136</v>
      </c>
      <c r="C33" s="18" t="s">
        <v>197</v>
      </c>
      <c r="D33" s="49" t="s">
        <v>33</v>
      </c>
      <c r="E33" s="71" t="s">
        <v>379</v>
      </c>
      <c r="F33" s="18" t="s">
        <v>278</v>
      </c>
      <c r="G33" s="18" t="s">
        <v>44</v>
      </c>
      <c r="H33" s="19">
        <v>43709</v>
      </c>
      <c r="I33" s="20">
        <v>44074</v>
      </c>
      <c r="J33" s="19">
        <v>43709</v>
      </c>
      <c r="K33" s="24" t="s">
        <v>169</v>
      </c>
      <c r="L33" s="24" t="s">
        <v>173</v>
      </c>
      <c r="M33" s="24" t="s">
        <v>91</v>
      </c>
      <c r="N33" s="26" t="s">
        <v>156</v>
      </c>
      <c r="O33" s="25" t="s">
        <v>381</v>
      </c>
    </row>
    <row r="34" spans="1:16" s="23" customFormat="1" ht="15" customHeight="1" x14ac:dyDescent="0.25">
      <c r="A34" s="70">
        <v>32</v>
      </c>
      <c r="B34" s="24">
        <v>2138</v>
      </c>
      <c r="C34" s="18" t="s">
        <v>197</v>
      </c>
      <c r="D34" s="52" t="s">
        <v>170</v>
      </c>
      <c r="E34" s="24" t="s">
        <v>380</v>
      </c>
      <c r="F34" s="24" t="s">
        <v>278</v>
      </c>
      <c r="G34" s="24" t="s">
        <v>44</v>
      </c>
      <c r="H34" s="19">
        <v>43709</v>
      </c>
      <c r="I34" s="20">
        <v>44074</v>
      </c>
      <c r="J34" s="19">
        <v>43709</v>
      </c>
      <c r="K34" s="24" t="s">
        <v>169</v>
      </c>
      <c r="L34" s="24" t="s">
        <v>173</v>
      </c>
      <c r="M34" s="24" t="s">
        <v>91</v>
      </c>
      <c r="N34" s="26" t="s">
        <v>156</v>
      </c>
      <c r="O34" s="25" t="s">
        <v>381</v>
      </c>
    </row>
    <row r="35" spans="1:16" s="23" customFormat="1" ht="15" customHeight="1" x14ac:dyDescent="0.25">
      <c r="A35" s="70">
        <v>33</v>
      </c>
      <c r="B35" s="24">
        <v>2065</v>
      </c>
      <c r="C35" s="18" t="s">
        <v>197</v>
      </c>
      <c r="D35" s="52" t="s">
        <v>171</v>
      </c>
      <c r="E35" s="24"/>
      <c r="F35" s="24" t="s">
        <v>278</v>
      </c>
      <c r="G35" s="24" t="s">
        <v>44</v>
      </c>
      <c r="H35" s="19">
        <v>43709</v>
      </c>
      <c r="I35" s="20">
        <v>44074</v>
      </c>
      <c r="J35" s="19">
        <v>43709</v>
      </c>
      <c r="K35" s="24" t="s">
        <v>172</v>
      </c>
      <c r="L35" s="24" t="s">
        <v>173</v>
      </c>
      <c r="M35" s="24" t="s">
        <v>91</v>
      </c>
      <c r="N35" s="26" t="s">
        <v>156</v>
      </c>
      <c r="O35" s="25" t="s">
        <v>381</v>
      </c>
    </row>
    <row r="36" spans="1:16" s="10" customFormat="1" ht="15" customHeight="1" x14ac:dyDescent="0.25">
      <c r="A36" s="35">
        <v>34</v>
      </c>
      <c r="B36" s="28">
        <v>2018</v>
      </c>
      <c r="C36" s="28" t="s">
        <v>197</v>
      </c>
      <c r="D36" s="50" t="s">
        <v>0</v>
      </c>
      <c r="E36" s="72" t="s">
        <v>345</v>
      </c>
      <c r="F36" s="28" t="s">
        <v>278</v>
      </c>
      <c r="G36" s="28" t="s">
        <v>50</v>
      </c>
      <c r="H36" s="28"/>
      <c r="I36" s="28"/>
      <c r="J36" s="29">
        <v>43515</v>
      </c>
      <c r="K36" s="30" t="s">
        <v>385</v>
      </c>
      <c r="L36" s="30" t="s">
        <v>154</v>
      </c>
      <c r="M36" s="30" t="s">
        <v>155</v>
      </c>
      <c r="N36" s="31" t="s">
        <v>153</v>
      </c>
      <c r="O36" s="31" t="s">
        <v>384</v>
      </c>
    </row>
    <row r="37" spans="1:16" s="10" customFormat="1" ht="15" customHeight="1" x14ac:dyDescent="0.25">
      <c r="A37" s="35">
        <v>35</v>
      </c>
      <c r="B37" s="28"/>
      <c r="C37" s="28" t="s">
        <v>197</v>
      </c>
      <c r="D37" s="50" t="s">
        <v>382</v>
      </c>
      <c r="E37" s="73" t="s">
        <v>383</v>
      </c>
      <c r="F37" s="28" t="s">
        <v>278</v>
      </c>
      <c r="G37" s="28" t="s">
        <v>92</v>
      </c>
      <c r="H37" s="28"/>
      <c r="I37" s="28"/>
      <c r="J37" s="29">
        <v>43572</v>
      </c>
      <c r="K37" s="30" t="s">
        <v>385</v>
      </c>
      <c r="L37" s="30" t="s">
        <v>154</v>
      </c>
      <c r="M37" s="30" t="s">
        <v>155</v>
      </c>
      <c r="N37" s="31" t="s">
        <v>153</v>
      </c>
      <c r="O37" s="31" t="s">
        <v>384</v>
      </c>
    </row>
    <row r="38" spans="1:16" s="10" customFormat="1" ht="15" customHeight="1" x14ac:dyDescent="0.25">
      <c r="A38" s="35">
        <v>36</v>
      </c>
      <c r="B38" s="28"/>
      <c r="C38" s="28" t="s">
        <v>197</v>
      </c>
      <c r="D38" s="50" t="s">
        <v>386</v>
      </c>
      <c r="E38" s="73" t="s">
        <v>387</v>
      </c>
      <c r="F38" s="28" t="s">
        <v>278</v>
      </c>
      <c r="G38" s="28" t="s">
        <v>47</v>
      </c>
      <c r="H38" s="28"/>
      <c r="I38" s="28"/>
      <c r="J38" s="29">
        <v>43654</v>
      </c>
      <c r="K38" s="30" t="s">
        <v>178</v>
      </c>
      <c r="L38" s="30" t="s">
        <v>179</v>
      </c>
      <c r="M38" s="30" t="s">
        <v>155</v>
      </c>
      <c r="N38" s="31" t="s">
        <v>153</v>
      </c>
      <c r="O38" s="31" t="s">
        <v>384</v>
      </c>
    </row>
    <row r="39" spans="1:16" s="10" customFormat="1" ht="15" customHeight="1" x14ac:dyDescent="0.25">
      <c r="A39" s="35">
        <v>37</v>
      </c>
      <c r="B39" s="28">
        <v>2068</v>
      </c>
      <c r="C39" s="28" t="s">
        <v>197</v>
      </c>
      <c r="D39" s="50" t="s">
        <v>22</v>
      </c>
      <c r="E39" s="73" t="s">
        <v>388</v>
      </c>
      <c r="F39" s="28" t="s">
        <v>278</v>
      </c>
      <c r="G39" s="28" t="s">
        <v>47</v>
      </c>
      <c r="H39" s="28"/>
      <c r="I39" s="28"/>
      <c r="J39" s="29">
        <v>43654</v>
      </c>
      <c r="K39" s="30" t="s">
        <v>178</v>
      </c>
      <c r="L39" s="30" t="s">
        <v>179</v>
      </c>
      <c r="M39" s="30" t="s">
        <v>155</v>
      </c>
      <c r="N39" s="31" t="s">
        <v>153</v>
      </c>
      <c r="O39" s="31" t="s">
        <v>384</v>
      </c>
    </row>
    <row r="40" spans="1:16" s="23" customFormat="1" ht="15" customHeight="1" x14ac:dyDescent="0.25">
      <c r="A40" s="70">
        <v>38</v>
      </c>
      <c r="B40" s="18">
        <v>2100</v>
      </c>
      <c r="C40" s="18" t="s">
        <v>197</v>
      </c>
      <c r="D40" s="49" t="s">
        <v>184</v>
      </c>
      <c r="E40" s="18" t="s">
        <v>389</v>
      </c>
      <c r="F40" s="18" t="s">
        <v>277</v>
      </c>
      <c r="G40" s="18" t="s">
        <v>52</v>
      </c>
      <c r="H40" s="20">
        <v>44207</v>
      </c>
      <c r="I40" s="20">
        <v>44804</v>
      </c>
      <c r="J40" s="19">
        <v>43994</v>
      </c>
      <c r="K40" s="24" t="s">
        <v>186</v>
      </c>
      <c r="L40" s="24" t="s">
        <v>188</v>
      </c>
      <c r="M40" s="24" t="s">
        <v>165</v>
      </c>
      <c r="N40" s="25" t="s">
        <v>153</v>
      </c>
      <c r="O40" s="33" t="s">
        <v>177</v>
      </c>
    </row>
    <row r="41" spans="1:16" s="23" customFormat="1" ht="15" customHeight="1" x14ac:dyDescent="0.25">
      <c r="A41" s="70">
        <v>39</v>
      </c>
      <c r="B41" s="18">
        <v>2190</v>
      </c>
      <c r="C41" s="18" t="s">
        <v>98</v>
      </c>
      <c r="D41" s="49" t="s">
        <v>38</v>
      </c>
      <c r="E41" s="18" t="s">
        <v>390</v>
      </c>
      <c r="F41" s="18" t="s">
        <v>277</v>
      </c>
      <c r="G41" s="18" t="s">
        <v>94</v>
      </c>
      <c r="H41" s="20">
        <v>44207</v>
      </c>
      <c r="I41" s="20">
        <v>44804</v>
      </c>
      <c r="J41" s="19">
        <v>44037</v>
      </c>
      <c r="K41" s="24" t="s">
        <v>186</v>
      </c>
      <c r="L41" s="24" t="s">
        <v>188</v>
      </c>
      <c r="M41" s="24" t="s">
        <v>165</v>
      </c>
      <c r="N41" s="25" t="s">
        <v>153</v>
      </c>
      <c r="O41" s="33" t="s">
        <v>177</v>
      </c>
    </row>
    <row r="42" spans="1:16" s="23" customFormat="1" ht="15" customHeight="1" x14ac:dyDescent="0.25">
      <c r="A42" s="70">
        <v>40</v>
      </c>
      <c r="B42" s="18">
        <v>2100</v>
      </c>
      <c r="C42" s="18" t="s">
        <v>197</v>
      </c>
      <c r="D42" s="49" t="s">
        <v>185</v>
      </c>
      <c r="E42" s="18" t="s">
        <v>389</v>
      </c>
      <c r="F42" s="18" t="s">
        <v>277</v>
      </c>
      <c r="G42" s="18" t="s">
        <v>52</v>
      </c>
      <c r="H42" s="20">
        <v>44207</v>
      </c>
      <c r="I42" s="20">
        <v>44804</v>
      </c>
      <c r="J42" s="19">
        <v>44203</v>
      </c>
      <c r="K42" s="24" t="s">
        <v>187</v>
      </c>
      <c r="L42" s="24" t="s">
        <v>188</v>
      </c>
      <c r="M42" s="24" t="s">
        <v>165</v>
      </c>
      <c r="N42" s="25" t="s">
        <v>153</v>
      </c>
      <c r="O42" s="33" t="s">
        <v>177</v>
      </c>
    </row>
    <row r="43" spans="1:16" s="23" customFormat="1" ht="15" customHeight="1" x14ac:dyDescent="0.25">
      <c r="A43" s="70">
        <v>41</v>
      </c>
      <c r="B43" s="18">
        <v>2025</v>
      </c>
      <c r="C43" s="18" t="s">
        <v>197</v>
      </c>
      <c r="D43" s="49" t="s">
        <v>9</v>
      </c>
      <c r="E43" s="74" t="s">
        <v>391</v>
      </c>
      <c r="F43" s="18" t="s">
        <v>278</v>
      </c>
      <c r="G43" s="18" t="s">
        <v>44</v>
      </c>
      <c r="H43" s="20">
        <v>43709</v>
      </c>
      <c r="I43" s="20">
        <v>44804</v>
      </c>
      <c r="J43" s="19">
        <v>43243</v>
      </c>
      <c r="K43" s="24" t="s">
        <v>65</v>
      </c>
      <c r="L43" s="24" t="s">
        <v>66</v>
      </c>
      <c r="M43" s="24" t="s">
        <v>67</v>
      </c>
      <c r="N43" s="26" t="s">
        <v>153</v>
      </c>
      <c r="O43" s="26"/>
    </row>
    <row r="44" spans="1:16" s="23" customFormat="1" ht="15" customHeight="1" x14ac:dyDescent="0.25">
      <c r="A44" s="70">
        <v>42</v>
      </c>
      <c r="B44" s="18">
        <v>2039</v>
      </c>
      <c r="C44" s="18" t="s">
        <v>197</v>
      </c>
      <c r="D44" s="49" t="s">
        <v>12</v>
      </c>
      <c r="E44" s="18" t="s">
        <v>392</v>
      </c>
      <c r="F44" s="18" t="s">
        <v>278</v>
      </c>
      <c r="G44" s="18" t="s">
        <v>44</v>
      </c>
      <c r="H44" s="20">
        <v>43709</v>
      </c>
      <c r="I44" s="20">
        <v>44804</v>
      </c>
      <c r="J44" s="19">
        <v>43243</v>
      </c>
      <c r="K44" s="24" t="s">
        <v>65</v>
      </c>
      <c r="L44" s="24" t="s">
        <v>66</v>
      </c>
      <c r="M44" s="24" t="s">
        <v>67</v>
      </c>
      <c r="N44" s="26" t="s">
        <v>153</v>
      </c>
      <c r="O44" s="26"/>
    </row>
    <row r="45" spans="1:16" s="23" customFormat="1" ht="15" customHeight="1" x14ac:dyDescent="0.25">
      <c r="A45" s="70">
        <v>43</v>
      </c>
      <c r="B45" s="24"/>
      <c r="C45" s="18" t="s">
        <v>197</v>
      </c>
      <c r="D45" s="52" t="s">
        <v>68</v>
      </c>
      <c r="E45" s="24" t="s">
        <v>393</v>
      </c>
      <c r="F45" s="24" t="s">
        <v>278</v>
      </c>
      <c r="G45" s="24" t="s">
        <v>69</v>
      </c>
      <c r="H45" s="20">
        <v>43709</v>
      </c>
      <c r="I45" s="20">
        <v>44804</v>
      </c>
      <c r="J45" s="19">
        <v>43243</v>
      </c>
      <c r="K45" s="24" t="s">
        <v>65</v>
      </c>
      <c r="L45" s="24" t="s">
        <v>66</v>
      </c>
      <c r="M45" s="24" t="s">
        <v>67</v>
      </c>
      <c r="N45" s="26" t="s">
        <v>153</v>
      </c>
      <c r="O45" s="26"/>
    </row>
    <row r="46" spans="1:16" s="42" customFormat="1" ht="15" customHeight="1" x14ac:dyDescent="0.25">
      <c r="A46" s="58">
        <v>44</v>
      </c>
      <c r="B46" s="38">
        <v>2071</v>
      </c>
      <c r="C46" s="38" t="s">
        <v>197</v>
      </c>
      <c r="D46" s="53" t="s">
        <v>23</v>
      </c>
      <c r="E46" s="38" t="s">
        <v>402</v>
      </c>
      <c r="F46" s="38" t="s">
        <v>277</v>
      </c>
      <c r="G46" s="38" t="s">
        <v>44</v>
      </c>
      <c r="H46" s="38"/>
      <c r="I46" s="38"/>
      <c r="J46" s="39">
        <v>43874</v>
      </c>
      <c r="K46" s="40" t="s">
        <v>206</v>
      </c>
      <c r="L46" s="40" t="s">
        <v>208</v>
      </c>
      <c r="M46" s="46" t="s">
        <v>72</v>
      </c>
      <c r="N46" s="41" t="s">
        <v>205</v>
      </c>
      <c r="O46" s="41" t="s">
        <v>400</v>
      </c>
      <c r="P46" s="42" t="s">
        <v>493</v>
      </c>
    </row>
    <row r="47" spans="1:16" s="42" customFormat="1" ht="15" customHeight="1" x14ac:dyDescent="0.25">
      <c r="A47" s="58">
        <v>45</v>
      </c>
      <c r="B47" s="38">
        <v>2098</v>
      </c>
      <c r="C47" s="38" t="s">
        <v>197</v>
      </c>
      <c r="D47" s="53" t="s">
        <v>28</v>
      </c>
      <c r="E47" s="38" t="s">
        <v>403</v>
      </c>
      <c r="F47" s="38" t="s">
        <v>277</v>
      </c>
      <c r="G47" s="38" t="s">
        <v>51</v>
      </c>
      <c r="H47" s="38"/>
      <c r="I47" s="38"/>
      <c r="J47" s="39">
        <v>43972</v>
      </c>
      <c r="K47" s="40" t="s">
        <v>209</v>
      </c>
      <c r="L47" s="40" t="s">
        <v>210</v>
      </c>
      <c r="M47" s="46" t="s">
        <v>72</v>
      </c>
      <c r="N47" s="41" t="s">
        <v>205</v>
      </c>
      <c r="O47" s="41" t="s">
        <v>400</v>
      </c>
      <c r="P47" s="42" t="s">
        <v>493</v>
      </c>
    </row>
    <row r="48" spans="1:16" s="42" customFormat="1" ht="15" customHeight="1" x14ac:dyDescent="0.25">
      <c r="A48" s="58">
        <v>46</v>
      </c>
      <c r="B48" s="38">
        <v>2176</v>
      </c>
      <c r="C48" s="38" t="s">
        <v>197</v>
      </c>
      <c r="D48" s="53" t="s">
        <v>35</v>
      </c>
      <c r="E48" s="38" t="s">
        <v>401</v>
      </c>
      <c r="F48" s="38" t="s">
        <v>277</v>
      </c>
      <c r="G48" s="38" t="s">
        <v>44</v>
      </c>
      <c r="H48" s="38"/>
      <c r="I48" s="38"/>
      <c r="J48" s="39">
        <v>43855</v>
      </c>
      <c r="K48" s="40" t="s">
        <v>206</v>
      </c>
      <c r="L48" s="40" t="s">
        <v>207</v>
      </c>
      <c r="M48" s="46" t="s">
        <v>72</v>
      </c>
      <c r="N48" s="41" t="s">
        <v>205</v>
      </c>
      <c r="O48" s="41" t="s">
        <v>400</v>
      </c>
      <c r="P48" s="42" t="s">
        <v>493</v>
      </c>
    </row>
    <row r="49" spans="1:15" s="23" customFormat="1" ht="15" customHeight="1" x14ac:dyDescent="0.25">
      <c r="A49" s="70">
        <v>47</v>
      </c>
      <c r="B49" s="18">
        <v>2070</v>
      </c>
      <c r="C49" s="18" t="s">
        <v>197</v>
      </c>
      <c r="D49" s="49" t="s">
        <v>394</v>
      </c>
      <c r="E49" s="18" t="s">
        <v>395</v>
      </c>
      <c r="F49" s="18" t="s">
        <v>278</v>
      </c>
      <c r="G49" s="18" t="s">
        <v>69</v>
      </c>
      <c r="H49" s="19">
        <v>43709</v>
      </c>
      <c r="I49" s="20">
        <v>44804</v>
      </c>
      <c r="J49" s="19">
        <v>43709</v>
      </c>
      <c r="K49" s="24" t="s">
        <v>70</v>
      </c>
      <c r="L49" s="24" t="s">
        <v>71</v>
      </c>
      <c r="M49" s="21" t="s">
        <v>72</v>
      </c>
      <c r="N49" s="26" t="s">
        <v>156</v>
      </c>
      <c r="O49" s="25" t="s">
        <v>371</v>
      </c>
    </row>
    <row r="50" spans="1:15" s="23" customFormat="1" ht="15" customHeight="1" x14ac:dyDescent="0.25">
      <c r="A50" s="70">
        <v>48</v>
      </c>
      <c r="B50" s="18">
        <v>2072</v>
      </c>
      <c r="C50" s="18" t="s">
        <v>197</v>
      </c>
      <c r="D50" s="49" t="s">
        <v>24</v>
      </c>
      <c r="E50" s="18" t="s">
        <v>396</v>
      </c>
      <c r="F50" s="18" t="s">
        <v>278</v>
      </c>
      <c r="G50" s="18" t="s">
        <v>51</v>
      </c>
      <c r="H50" s="19">
        <v>43709</v>
      </c>
      <c r="I50" s="20">
        <v>44804</v>
      </c>
      <c r="J50" s="19">
        <v>43709</v>
      </c>
      <c r="K50" s="24" t="s">
        <v>73</v>
      </c>
      <c r="L50" s="24" t="s">
        <v>74</v>
      </c>
      <c r="M50" s="21" t="s">
        <v>72</v>
      </c>
      <c r="N50" s="26" t="s">
        <v>156</v>
      </c>
      <c r="O50" s="25" t="s">
        <v>371</v>
      </c>
    </row>
    <row r="51" spans="1:15" s="23" customFormat="1" ht="15" customHeight="1" x14ac:dyDescent="0.25">
      <c r="A51" s="70">
        <v>49</v>
      </c>
      <c r="B51" s="18">
        <v>2167</v>
      </c>
      <c r="C51" s="18" t="s">
        <v>197</v>
      </c>
      <c r="D51" s="49" t="s">
        <v>34</v>
      </c>
      <c r="E51" s="18" t="s">
        <v>398</v>
      </c>
      <c r="F51" s="18" t="s">
        <v>277</v>
      </c>
      <c r="G51" s="18" t="s">
        <v>51</v>
      </c>
      <c r="H51" s="19">
        <v>43709</v>
      </c>
      <c r="I51" s="20">
        <v>44804</v>
      </c>
      <c r="J51" s="19">
        <v>43709</v>
      </c>
      <c r="K51" s="24" t="s">
        <v>77</v>
      </c>
      <c r="L51" s="24" t="s">
        <v>74</v>
      </c>
      <c r="M51" s="21" t="s">
        <v>72</v>
      </c>
      <c r="N51" s="26" t="s">
        <v>156</v>
      </c>
      <c r="O51" s="25" t="s">
        <v>371</v>
      </c>
    </row>
    <row r="52" spans="1:15" s="23" customFormat="1" ht="15" customHeight="1" x14ac:dyDescent="0.25">
      <c r="A52" s="70">
        <v>50</v>
      </c>
      <c r="B52" s="24">
        <v>2166</v>
      </c>
      <c r="C52" s="24" t="s">
        <v>197</v>
      </c>
      <c r="D52" s="52" t="s">
        <v>75</v>
      </c>
      <c r="E52" s="24" t="s">
        <v>397</v>
      </c>
      <c r="F52" s="24" t="s">
        <v>278</v>
      </c>
      <c r="G52" s="24" t="s">
        <v>76</v>
      </c>
      <c r="H52" s="19">
        <v>43709</v>
      </c>
      <c r="I52" s="20">
        <v>44804</v>
      </c>
      <c r="J52" s="19">
        <v>43709</v>
      </c>
      <c r="K52" s="24" t="s">
        <v>77</v>
      </c>
      <c r="L52" s="24" t="s">
        <v>74</v>
      </c>
      <c r="M52" s="21" t="s">
        <v>72</v>
      </c>
      <c r="N52" s="26" t="s">
        <v>156</v>
      </c>
      <c r="O52" s="25" t="s">
        <v>371</v>
      </c>
    </row>
    <row r="53" spans="1:15" s="23" customFormat="1" ht="15" customHeight="1" x14ac:dyDescent="0.25">
      <c r="A53" s="70">
        <v>51</v>
      </c>
      <c r="B53" s="24">
        <v>2168</v>
      </c>
      <c r="C53" s="24" t="s">
        <v>197</v>
      </c>
      <c r="D53" s="52" t="s">
        <v>78</v>
      </c>
      <c r="E53" s="24" t="s">
        <v>399</v>
      </c>
      <c r="F53" s="24" t="s">
        <v>278</v>
      </c>
      <c r="G53" s="24" t="s">
        <v>79</v>
      </c>
      <c r="H53" s="19">
        <v>43709</v>
      </c>
      <c r="I53" s="20">
        <v>44804</v>
      </c>
      <c r="J53" s="19">
        <v>43709</v>
      </c>
      <c r="K53" s="24" t="s">
        <v>77</v>
      </c>
      <c r="L53" s="24" t="s">
        <v>74</v>
      </c>
      <c r="M53" s="21" t="s">
        <v>72</v>
      </c>
      <c r="N53" s="26" t="s">
        <v>156</v>
      </c>
      <c r="O53" s="25" t="s">
        <v>371</v>
      </c>
    </row>
    <row r="54" spans="1:15" s="23" customFormat="1" ht="15" customHeight="1" x14ac:dyDescent="0.25">
      <c r="A54" s="70">
        <v>52</v>
      </c>
      <c r="B54" s="24">
        <v>2026</v>
      </c>
      <c r="C54" s="24" t="s">
        <v>197</v>
      </c>
      <c r="D54" s="52" t="s">
        <v>88</v>
      </c>
      <c r="E54" s="24" t="s">
        <v>413</v>
      </c>
      <c r="F54" s="24" t="s">
        <v>278</v>
      </c>
      <c r="G54" s="24" t="s">
        <v>89</v>
      </c>
      <c r="H54" s="19">
        <v>43709</v>
      </c>
      <c r="I54" s="20">
        <v>44804</v>
      </c>
      <c r="J54" s="19">
        <v>43709</v>
      </c>
      <c r="K54" s="24" t="s">
        <v>70</v>
      </c>
      <c r="L54" s="24" t="s">
        <v>84</v>
      </c>
      <c r="M54" s="24" t="s">
        <v>88</v>
      </c>
      <c r="N54" s="26" t="s">
        <v>156</v>
      </c>
      <c r="O54" s="25" t="s">
        <v>371</v>
      </c>
    </row>
    <row r="55" spans="1:15" s="23" customFormat="1" ht="15" customHeight="1" x14ac:dyDescent="0.25">
      <c r="A55" s="70">
        <v>53</v>
      </c>
      <c r="B55" s="18">
        <v>2078</v>
      </c>
      <c r="C55" s="18" t="s">
        <v>197</v>
      </c>
      <c r="D55" s="49" t="s">
        <v>26</v>
      </c>
      <c r="E55" s="71" t="s">
        <v>414</v>
      </c>
      <c r="F55" s="18" t="s">
        <v>279</v>
      </c>
      <c r="G55" s="18" t="s">
        <v>44</v>
      </c>
      <c r="H55" s="19">
        <v>43709</v>
      </c>
      <c r="I55" s="20">
        <v>44804</v>
      </c>
      <c r="J55" s="19">
        <v>43632</v>
      </c>
      <c r="K55" s="24" t="s">
        <v>58</v>
      </c>
      <c r="L55" s="24" t="s">
        <v>114</v>
      </c>
      <c r="M55" s="21" t="s">
        <v>115</v>
      </c>
      <c r="N55" s="26" t="s">
        <v>156</v>
      </c>
      <c r="O55" s="26" t="s">
        <v>157</v>
      </c>
    </row>
    <row r="56" spans="1:15" s="23" customFormat="1" ht="15" customHeight="1" x14ac:dyDescent="0.25">
      <c r="A56" s="70">
        <v>54</v>
      </c>
      <c r="B56" s="18">
        <v>2080</v>
      </c>
      <c r="C56" s="18" t="s">
        <v>197</v>
      </c>
      <c r="D56" s="49" t="s">
        <v>27</v>
      </c>
      <c r="E56" s="71" t="s">
        <v>415</v>
      </c>
      <c r="F56" s="18" t="s">
        <v>279</v>
      </c>
      <c r="G56" s="18" t="s">
        <v>44</v>
      </c>
      <c r="H56" s="19">
        <v>43709</v>
      </c>
      <c r="I56" s="20">
        <v>44804</v>
      </c>
      <c r="J56" s="19">
        <v>43683</v>
      </c>
      <c r="K56" s="24" t="s">
        <v>58</v>
      </c>
      <c r="L56" s="24" t="s">
        <v>114</v>
      </c>
      <c r="M56" s="21" t="s">
        <v>115</v>
      </c>
      <c r="N56" s="26" t="s">
        <v>156</v>
      </c>
      <c r="O56" s="26" t="s">
        <v>157</v>
      </c>
    </row>
    <row r="57" spans="1:15" s="23" customFormat="1" ht="15" customHeight="1" x14ac:dyDescent="0.25">
      <c r="A57" s="70">
        <v>55</v>
      </c>
      <c r="B57" s="18">
        <v>2104</v>
      </c>
      <c r="C57" s="18" t="s">
        <v>197</v>
      </c>
      <c r="D57" s="49" t="s">
        <v>30</v>
      </c>
      <c r="E57" s="18" t="s">
        <v>416</v>
      </c>
      <c r="F57" s="18" t="s">
        <v>278</v>
      </c>
      <c r="G57" s="18" t="s">
        <v>44</v>
      </c>
      <c r="H57" s="19">
        <v>43709</v>
      </c>
      <c r="I57" s="20">
        <v>44804</v>
      </c>
      <c r="J57" s="19">
        <v>43709</v>
      </c>
      <c r="K57" s="24" t="s">
        <v>70</v>
      </c>
      <c r="L57" s="24" t="s">
        <v>86</v>
      </c>
      <c r="M57" s="24" t="s">
        <v>87</v>
      </c>
      <c r="N57" s="26" t="s">
        <v>156</v>
      </c>
      <c r="O57" s="26" t="s">
        <v>157</v>
      </c>
    </row>
    <row r="58" spans="1:15" s="23" customFormat="1" ht="15" customHeight="1" x14ac:dyDescent="0.25">
      <c r="A58" s="70">
        <v>56</v>
      </c>
      <c r="B58" s="18">
        <v>2020</v>
      </c>
      <c r="C58" s="18" t="s">
        <v>197</v>
      </c>
      <c r="D58" s="49" t="s">
        <v>2</v>
      </c>
      <c r="E58" s="18" t="s">
        <v>323</v>
      </c>
      <c r="F58" s="18" t="s">
        <v>277</v>
      </c>
      <c r="G58" s="18" t="s">
        <v>45</v>
      </c>
      <c r="H58" s="20">
        <v>43709</v>
      </c>
      <c r="I58" s="20">
        <v>44804</v>
      </c>
      <c r="J58" s="19">
        <v>43709</v>
      </c>
      <c r="K58" s="24" t="s">
        <v>180</v>
      </c>
      <c r="L58" s="24" t="s">
        <v>181</v>
      </c>
      <c r="M58" s="24" t="s">
        <v>105</v>
      </c>
      <c r="N58" s="25" t="s">
        <v>153</v>
      </c>
      <c r="O58" s="22" t="s">
        <v>157</v>
      </c>
    </row>
    <row r="59" spans="1:15" s="23" customFormat="1" ht="15" customHeight="1" x14ac:dyDescent="0.25">
      <c r="A59" s="70">
        <v>57</v>
      </c>
      <c r="B59" s="18">
        <v>2021</v>
      </c>
      <c r="C59" s="18" t="s">
        <v>197</v>
      </c>
      <c r="D59" s="49" t="s">
        <v>7</v>
      </c>
      <c r="E59" s="18" t="s">
        <v>324</v>
      </c>
      <c r="F59" s="18" t="s">
        <v>278</v>
      </c>
      <c r="G59" s="18" t="s">
        <v>45</v>
      </c>
      <c r="H59" s="20">
        <v>43709</v>
      </c>
      <c r="I59" s="20">
        <v>44804</v>
      </c>
      <c r="J59" s="19">
        <v>43709</v>
      </c>
      <c r="K59" s="24" t="s">
        <v>103</v>
      </c>
      <c r="L59" s="24" t="s">
        <v>181</v>
      </c>
      <c r="M59" s="24" t="s">
        <v>105</v>
      </c>
      <c r="N59" s="25" t="s">
        <v>153</v>
      </c>
      <c r="O59" s="22" t="s">
        <v>157</v>
      </c>
    </row>
    <row r="60" spans="1:15" s="23" customFormat="1" ht="15" customHeight="1" x14ac:dyDescent="0.25">
      <c r="A60" s="70">
        <v>58</v>
      </c>
      <c r="B60" s="18">
        <v>2023</v>
      </c>
      <c r="C60" s="18" t="s">
        <v>197</v>
      </c>
      <c r="D60" s="49" t="s">
        <v>8</v>
      </c>
      <c r="E60" s="18" t="s">
        <v>325</v>
      </c>
      <c r="F60" s="18" t="s">
        <v>277</v>
      </c>
      <c r="G60" s="18" t="s">
        <v>45</v>
      </c>
      <c r="H60" s="20">
        <v>43709</v>
      </c>
      <c r="I60" s="20">
        <v>44804</v>
      </c>
      <c r="J60" s="19">
        <v>43709</v>
      </c>
      <c r="K60" s="24" t="s">
        <v>110</v>
      </c>
      <c r="L60" s="24" t="s">
        <v>111</v>
      </c>
      <c r="M60" s="24" t="s">
        <v>105</v>
      </c>
      <c r="N60" s="26" t="s">
        <v>153</v>
      </c>
      <c r="O60" s="22" t="s">
        <v>157</v>
      </c>
    </row>
    <row r="61" spans="1:15" s="23" customFormat="1" ht="15" customHeight="1" x14ac:dyDescent="0.25">
      <c r="A61" s="70">
        <v>59</v>
      </c>
      <c r="B61" s="18">
        <v>2029</v>
      </c>
      <c r="C61" s="18" t="s">
        <v>197</v>
      </c>
      <c r="D61" s="49" t="s">
        <v>10</v>
      </c>
      <c r="E61" s="18" t="s">
        <v>326</v>
      </c>
      <c r="F61" s="18" t="s">
        <v>277</v>
      </c>
      <c r="G61" s="18" t="s">
        <v>45</v>
      </c>
      <c r="H61" s="20">
        <v>43709</v>
      </c>
      <c r="I61" s="20">
        <v>44804</v>
      </c>
      <c r="J61" s="19">
        <v>43709</v>
      </c>
      <c r="K61" s="24" t="s">
        <v>103</v>
      </c>
      <c r="L61" s="24" t="s">
        <v>104</v>
      </c>
      <c r="M61" s="24" t="s">
        <v>105</v>
      </c>
      <c r="N61" s="26" t="s">
        <v>153</v>
      </c>
      <c r="O61" s="22" t="s">
        <v>157</v>
      </c>
    </row>
    <row r="62" spans="1:15" s="23" customFormat="1" ht="15" customHeight="1" x14ac:dyDescent="0.25">
      <c r="A62" s="70">
        <v>60</v>
      </c>
      <c r="B62" s="18">
        <v>2037</v>
      </c>
      <c r="C62" s="18" t="s">
        <v>197</v>
      </c>
      <c r="D62" s="49" t="s">
        <v>11</v>
      </c>
      <c r="E62" s="18" t="s">
        <v>417</v>
      </c>
      <c r="F62" s="18" t="s">
        <v>278</v>
      </c>
      <c r="G62" s="18" t="s">
        <v>46</v>
      </c>
      <c r="H62" s="20">
        <v>43709</v>
      </c>
      <c r="I62" s="20">
        <v>44804</v>
      </c>
      <c r="J62" s="19">
        <v>43709</v>
      </c>
      <c r="K62" s="24" t="s">
        <v>106</v>
      </c>
      <c r="L62" s="24" t="s">
        <v>109</v>
      </c>
      <c r="M62" s="24" t="s">
        <v>105</v>
      </c>
      <c r="N62" s="26" t="s">
        <v>153</v>
      </c>
      <c r="O62" s="22" t="s">
        <v>157</v>
      </c>
    </row>
    <row r="63" spans="1:15" s="23" customFormat="1" ht="15" customHeight="1" x14ac:dyDescent="0.25">
      <c r="A63" s="70">
        <v>61</v>
      </c>
      <c r="B63" s="18">
        <v>2061</v>
      </c>
      <c r="C63" s="18" t="s">
        <v>197</v>
      </c>
      <c r="D63" s="49" t="s">
        <v>19</v>
      </c>
      <c r="E63" s="18" t="s">
        <v>327</v>
      </c>
      <c r="F63" s="18" t="s">
        <v>277</v>
      </c>
      <c r="G63" s="18" t="s">
        <v>45</v>
      </c>
      <c r="H63" s="20">
        <v>43709</v>
      </c>
      <c r="I63" s="20">
        <v>44804</v>
      </c>
      <c r="J63" s="19">
        <v>43709</v>
      </c>
      <c r="K63" s="24" t="s">
        <v>103</v>
      </c>
      <c r="L63" s="24" t="s">
        <v>104</v>
      </c>
      <c r="M63" s="24" t="s">
        <v>105</v>
      </c>
      <c r="N63" s="26" t="s">
        <v>153</v>
      </c>
      <c r="O63" s="22" t="s">
        <v>157</v>
      </c>
    </row>
    <row r="64" spans="1:15" s="23" customFormat="1" ht="15" customHeight="1" x14ac:dyDescent="0.25">
      <c r="A64" s="70">
        <v>62</v>
      </c>
      <c r="B64" s="18">
        <v>2062</v>
      </c>
      <c r="C64" s="18" t="s">
        <v>197</v>
      </c>
      <c r="D64" s="49" t="s">
        <v>20</v>
      </c>
      <c r="E64" s="18" t="s">
        <v>328</v>
      </c>
      <c r="F64" s="18" t="s">
        <v>277</v>
      </c>
      <c r="G64" s="18" t="s">
        <v>45</v>
      </c>
      <c r="H64" s="20">
        <v>43709</v>
      </c>
      <c r="I64" s="20">
        <v>44804</v>
      </c>
      <c r="J64" s="19">
        <v>43709</v>
      </c>
      <c r="K64" s="24" t="s">
        <v>103</v>
      </c>
      <c r="L64" s="24" t="s">
        <v>181</v>
      </c>
      <c r="M64" s="24" t="s">
        <v>105</v>
      </c>
      <c r="N64" s="25" t="s">
        <v>153</v>
      </c>
      <c r="O64" s="22" t="s">
        <v>157</v>
      </c>
    </row>
    <row r="65" spans="1:16" s="23" customFormat="1" ht="15" customHeight="1" x14ac:dyDescent="0.25">
      <c r="A65" s="70">
        <v>63</v>
      </c>
      <c r="B65" s="18">
        <v>2063</v>
      </c>
      <c r="C65" s="18" t="s">
        <v>197</v>
      </c>
      <c r="D65" s="49" t="s">
        <v>21</v>
      </c>
      <c r="E65" s="18" t="s">
        <v>329</v>
      </c>
      <c r="F65" s="18" t="s">
        <v>277</v>
      </c>
      <c r="G65" s="18" t="s">
        <v>45</v>
      </c>
      <c r="H65" s="20">
        <v>43709</v>
      </c>
      <c r="I65" s="20">
        <v>44804</v>
      </c>
      <c r="J65" s="19">
        <v>43709</v>
      </c>
      <c r="K65" s="24" t="s">
        <v>112</v>
      </c>
      <c r="L65" s="24" t="s">
        <v>113</v>
      </c>
      <c r="M65" s="24" t="s">
        <v>105</v>
      </c>
      <c r="N65" s="26" t="s">
        <v>153</v>
      </c>
      <c r="O65" s="22" t="s">
        <v>157</v>
      </c>
    </row>
    <row r="66" spans="1:16" s="23" customFormat="1" ht="15" customHeight="1" x14ac:dyDescent="0.25">
      <c r="A66" s="70">
        <v>64</v>
      </c>
      <c r="B66" s="24"/>
      <c r="C66" s="18" t="s">
        <v>197</v>
      </c>
      <c r="D66" s="52" t="s">
        <v>107</v>
      </c>
      <c r="E66" s="24" t="s">
        <v>330</v>
      </c>
      <c r="F66" s="24" t="s">
        <v>278</v>
      </c>
      <c r="G66" s="18" t="s">
        <v>45</v>
      </c>
      <c r="H66" s="20">
        <v>43709</v>
      </c>
      <c r="I66" s="20">
        <v>44804</v>
      </c>
      <c r="J66" s="19">
        <v>43709</v>
      </c>
      <c r="K66" s="24" t="s">
        <v>108</v>
      </c>
      <c r="L66" s="24" t="s">
        <v>109</v>
      </c>
      <c r="M66" s="24" t="s">
        <v>105</v>
      </c>
      <c r="N66" s="26" t="s">
        <v>153</v>
      </c>
      <c r="O66" s="22" t="s">
        <v>157</v>
      </c>
    </row>
    <row r="67" spans="1:16" s="23" customFormat="1" ht="15" customHeight="1" x14ac:dyDescent="0.25">
      <c r="A67" s="70">
        <v>65</v>
      </c>
      <c r="B67" s="24">
        <v>2075</v>
      </c>
      <c r="C67" s="18" t="s">
        <v>197</v>
      </c>
      <c r="D67" s="52" t="s">
        <v>182</v>
      </c>
      <c r="E67" s="24" t="s">
        <v>331</v>
      </c>
      <c r="F67" s="24" t="s">
        <v>278</v>
      </c>
      <c r="G67" s="24" t="s">
        <v>45</v>
      </c>
      <c r="H67" s="20">
        <v>43709</v>
      </c>
      <c r="I67" s="20">
        <v>44804</v>
      </c>
      <c r="J67" s="19">
        <v>43709</v>
      </c>
      <c r="K67" s="24" t="s">
        <v>103</v>
      </c>
      <c r="L67" s="24" t="s">
        <v>181</v>
      </c>
      <c r="M67" s="24" t="s">
        <v>105</v>
      </c>
      <c r="N67" s="25" t="s">
        <v>153</v>
      </c>
      <c r="O67" s="22" t="s">
        <v>157</v>
      </c>
    </row>
    <row r="68" spans="1:16" s="23" customFormat="1" ht="15" customHeight="1" x14ac:dyDescent="0.25">
      <c r="A68" s="70">
        <v>66</v>
      </c>
      <c r="B68" s="24">
        <v>2108</v>
      </c>
      <c r="C68" s="18" t="s">
        <v>197</v>
      </c>
      <c r="D68" s="52" t="s">
        <v>183</v>
      </c>
      <c r="E68" s="24" t="s">
        <v>332</v>
      </c>
      <c r="F68" s="24" t="s">
        <v>278</v>
      </c>
      <c r="G68" s="24" t="s">
        <v>45</v>
      </c>
      <c r="H68" s="20">
        <v>43709</v>
      </c>
      <c r="I68" s="20">
        <v>44804</v>
      </c>
      <c r="J68" s="19">
        <v>43709</v>
      </c>
      <c r="K68" s="24" t="s">
        <v>103</v>
      </c>
      <c r="L68" s="24" t="s">
        <v>181</v>
      </c>
      <c r="M68" s="24" t="s">
        <v>105</v>
      </c>
      <c r="N68" s="25" t="s">
        <v>153</v>
      </c>
      <c r="O68" s="22" t="s">
        <v>157</v>
      </c>
    </row>
    <row r="69" spans="1:16" s="23" customFormat="1" ht="15" customHeight="1" x14ac:dyDescent="0.25">
      <c r="A69" s="70">
        <v>67</v>
      </c>
      <c r="B69" s="18">
        <v>2105</v>
      </c>
      <c r="C69" s="18" t="s">
        <v>197</v>
      </c>
      <c r="D69" s="49" t="s">
        <v>31</v>
      </c>
      <c r="E69" s="18" t="s">
        <v>418</v>
      </c>
      <c r="F69" s="18" t="s">
        <v>277</v>
      </c>
      <c r="G69" s="18" t="s">
        <v>44</v>
      </c>
      <c r="H69" s="20">
        <v>43709</v>
      </c>
      <c r="I69" s="20">
        <v>44804</v>
      </c>
      <c r="J69" s="19">
        <v>43603</v>
      </c>
      <c r="K69" s="24" t="s">
        <v>80</v>
      </c>
      <c r="L69" s="24" t="s">
        <v>81</v>
      </c>
      <c r="M69" s="24" t="s">
        <v>82</v>
      </c>
      <c r="N69" s="26" t="s">
        <v>156</v>
      </c>
      <c r="O69" s="26" t="s">
        <v>157</v>
      </c>
    </row>
    <row r="70" spans="1:16" s="42" customFormat="1" ht="15" customHeight="1" x14ac:dyDescent="0.25">
      <c r="A70" s="58">
        <v>68</v>
      </c>
      <c r="B70" s="38">
        <v>2203</v>
      </c>
      <c r="C70" s="38" t="s">
        <v>197</v>
      </c>
      <c r="D70" s="53" t="s">
        <v>420</v>
      </c>
      <c r="E70" s="43" t="s">
        <v>422</v>
      </c>
      <c r="F70" s="38" t="s">
        <v>277</v>
      </c>
      <c r="G70" s="38"/>
      <c r="H70" s="44"/>
      <c r="I70" s="44"/>
      <c r="J70" s="39">
        <v>44161</v>
      </c>
      <c r="K70" s="40" t="s">
        <v>174</v>
      </c>
      <c r="L70" s="40" t="s">
        <v>175</v>
      </c>
      <c r="M70" s="40" t="s">
        <v>176</v>
      </c>
      <c r="N70" s="47"/>
      <c r="O70" s="45" t="s">
        <v>426</v>
      </c>
      <c r="P70" s="97" t="s">
        <v>493</v>
      </c>
    </row>
    <row r="71" spans="1:16" s="42" customFormat="1" ht="15" customHeight="1" x14ac:dyDescent="0.25">
      <c r="A71" s="58">
        <v>69</v>
      </c>
      <c r="B71" s="38">
        <v>2204</v>
      </c>
      <c r="C71" s="38" t="s">
        <v>197</v>
      </c>
      <c r="D71" s="53" t="s">
        <v>421</v>
      </c>
      <c r="E71" s="43" t="s">
        <v>423</v>
      </c>
      <c r="F71" s="38" t="s">
        <v>277</v>
      </c>
      <c r="G71" s="38"/>
      <c r="H71" s="44"/>
      <c r="I71" s="44"/>
      <c r="J71" s="39">
        <v>44161</v>
      </c>
      <c r="K71" s="40" t="s">
        <v>174</v>
      </c>
      <c r="L71" s="40" t="s">
        <v>175</v>
      </c>
      <c r="M71" s="40" t="s">
        <v>176</v>
      </c>
      <c r="N71" s="47"/>
      <c r="O71" s="45" t="s">
        <v>426</v>
      </c>
      <c r="P71" s="97" t="s">
        <v>493</v>
      </c>
    </row>
    <row r="72" spans="1:16" s="42" customFormat="1" ht="15" customHeight="1" x14ac:dyDescent="0.25">
      <c r="A72" s="58">
        <v>70</v>
      </c>
      <c r="B72" s="38">
        <v>2206</v>
      </c>
      <c r="C72" s="38" t="s">
        <v>197</v>
      </c>
      <c r="D72" s="53" t="s">
        <v>42</v>
      </c>
      <c r="E72" s="43" t="s">
        <v>419</v>
      </c>
      <c r="F72" s="38" t="s">
        <v>277</v>
      </c>
      <c r="G72" s="38" t="s">
        <v>44</v>
      </c>
      <c r="H72" s="38"/>
      <c r="I72" s="38"/>
      <c r="J72" s="39">
        <v>44177</v>
      </c>
      <c r="K72" s="40" t="s">
        <v>174</v>
      </c>
      <c r="L72" s="40" t="s">
        <v>175</v>
      </c>
      <c r="M72" s="40" t="s">
        <v>176</v>
      </c>
      <c r="N72" s="47"/>
      <c r="O72" s="45" t="s">
        <v>426</v>
      </c>
      <c r="P72" s="97" t="s">
        <v>493</v>
      </c>
    </row>
    <row r="73" spans="1:16" s="23" customFormat="1" ht="15" customHeight="1" x14ac:dyDescent="0.25">
      <c r="A73" s="70">
        <v>71</v>
      </c>
      <c r="B73" s="18">
        <v>2049</v>
      </c>
      <c r="C73" s="18" t="s">
        <v>197</v>
      </c>
      <c r="D73" s="49" t="s">
        <v>13</v>
      </c>
      <c r="E73" s="71" t="s">
        <v>429</v>
      </c>
      <c r="F73" s="18" t="s">
        <v>277</v>
      </c>
      <c r="G73" s="18" t="s">
        <v>44</v>
      </c>
      <c r="H73" s="20">
        <v>43709</v>
      </c>
      <c r="I73" s="20">
        <v>44804</v>
      </c>
      <c r="J73" s="19">
        <v>43683</v>
      </c>
      <c r="K73" s="24" t="s">
        <v>58</v>
      </c>
      <c r="L73" s="24" t="s">
        <v>59</v>
      </c>
      <c r="M73" s="24" t="s">
        <v>63</v>
      </c>
      <c r="N73" s="26" t="s">
        <v>156</v>
      </c>
      <c r="O73" s="26" t="s">
        <v>157</v>
      </c>
    </row>
    <row r="74" spans="1:16" s="23" customFormat="1" ht="15" customHeight="1" x14ac:dyDescent="0.25">
      <c r="A74" s="70">
        <v>72</v>
      </c>
      <c r="B74" s="18">
        <v>2106</v>
      </c>
      <c r="C74" s="18" t="s">
        <v>197</v>
      </c>
      <c r="D74" s="49" t="s">
        <v>32</v>
      </c>
      <c r="E74" s="71" t="s">
        <v>430</v>
      </c>
      <c r="F74" s="18" t="s">
        <v>277</v>
      </c>
      <c r="G74" s="18" t="s">
        <v>44</v>
      </c>
      <c r="H74" s="20">
        <v>43709</v>
      </c>
      <c r="I74" s="20">
        <v>44804</v>
      </c>
      <c r="J74" s="19">
        <v>43632</v>
      </c>
      <c r="K74" s="24" t="s">
        <v>58</v>
      </c>
      <c r="L74" s="24" t="s">
        <v>59</v>
      </c>
      <c r="M74" s="24" t="s">
        <v>63</v>
      </c>
      <c r="N74" s="26" t="s">
        <v>156</v>
      </c>
      <c r="O74" s="26" t="s">
        <v>157</v>
      </c>
    </row>
    <row r="75" spans="1:16" s="42" customFormat="1" ht="15" customHeight="1" x14ac:dyDescent="0.25">
      <c r="A75" s="58">
        <v>73</v>
      </c>
      <c r="B75" s="38">
        <v>2101</v>
      </c>
      <c r="C75" s="38" t="s">
        <v>197</v>
      </c>
      <c r="D75" s="53" t="s">
        <v>29</v>
      </c>
      <c r="E75" s="67" t="s">
        <v>442</v>
      </c>
      <c r="F75" s="38" t="s">
        <v>278</v>
      </c>
      <c r="G75" s="38" t="s">
        <v>44</v>
      </c>
      <c r="H75" s="38"/>
      <c r="I75" s="38"/>
      <c r="J75" s="39">
        <v>44160</v>
      </c>
      <c r="K75" s="40" t="s">
        <v>198</v>
      </c>
      <c r="L75" s="46" t="s">
        <v>199</v>
      </c>
      <c r="M75" s="40" t="s">
        <v>62</v>
      </c>
      <c r="N75" s="41" t="s">
        <v>200</v>
      </c>
      <c r="O75" s="41" t="s">
        <v>201</v>
      </c>
      <c r="P75" s="42" t="s">
        <v>493</v>
      </c>
    </row>
    <row r="76" spans="1:16" s="42" customFormat="1" ht="15" customHeight="1" x14ac:dyDescent="0.25">
      <c r="A76" s="58">
        <v>74</v>
      </c>
      <c r="B76" s="38">
        <v>2185</v>
      </c>
      <c r="C76" s="40" t="s">
        <v>197</v>
      </c>
      <c r="D76" s="53" t="s">
        <v>36</v>
      </c>
      <c r="E76" s="38" t="s">
        <v>405</v>
      </c>
      <c r="F76" s="38" t="s">
        <v>278</v>
      </c>
      <c r="G76" s="38" t="s">
        <v>93</v>
      </c>
      <c r="H76" s="38"/>
      <c r="I76" s="38"/>
      <c r="J76" s="39">
        <v>44006</v>
      </c>
      <c r="K76" s="40" t="s">
        <v>203</v>
      </c>
      <c r="L76" s="40" t="s">
        <v>204</v>
      </c>
      <c r="M76" s="46" t="s">
        <v>72</v>
      </c>
      <c r="N76" s="41" t="s">
        <v>205</v>
      </c>
      <c r="O76" s="41" t="s">
        <v>404</v>
      </c>
      <c r="P76" s="42" t="s">
        <v>493</v>
      </c>
    </row>
    <row r="77" spans="1:16" s="42" customFormat="1" ht="15" customHeight="1" x14ac:dyDescent="0.25">
      <c r="A77" s="58">
        <v>75</v>
      </c>
      <c r="B77" s="38">
        <v>2191</v>
      </c>
      <c r="C77" s="40" t="s">
        <v>197</v>
      </c>
      <c r="D77" s="53" t="s">
        <v>39</v>
      </c>
      <c r="E77" s="38" t="s">
        <v>333</v>
      </c>
      <c r="F77" s="38" t="s">
        <v>277</v>
      </c>
      <c r="G77" s="38" t="s">
        <v>45</v>
      </c>
      <c r="H77" s="38"/>
      <c r="I77" s="38"/>
      <c r="J77" s="39">
        <v>44105</v>
      </c>
      <c r="K77" s="40" t="s">
        <v>313</v>
      </c>
      <c r="L77" s="40" t="s">
        <v>318</v>
      </c>
      <c r="M77" s="40" t="s">
        <v>105</v>
      </c>
      <c r="N77" s="41" t="s">
        <v>153</v>
      </c>
      <c r="O77" s="41" t="s">
        <v>273</v>
      </c>
      <c r="P77" s="97" t="s">
        <v>493</v>
      </c>
    </row>
    <row r="78" spans="1:16" s="42" customFormat="1" ht="15" customHeight="1" x14ac:dyDescent="0.25">
      <c r="A78" s="58">
        <v>76</v>
      </c>
      <c r="B78" s="38">
        <v>2192</v>
      </c>
      <c r="C78" s="40" t="s">
        <v>197</v>
      </c>
      <c r="D78" s="53" t="s">
        <v>40</v>
      </c>
      <c r="E78" s="38" t="s">
        <v>334</v>
      </c>
      <c r="F78" s="38" t="s">
        <v>278</v>
      </c>
      <c r="G78" s="38" t="s">
        <v>45</v>
      </c>
      <c r="H78" s="38"/>
      <c r="I78" s="38"/>
      <c r="J78" s="39">
        <v>44105</v>
      </c>
      <c r="K78" s="40" t="s">
        <v>317</v>
      </c>
      <c r="L78" s="40" t="s">
        <v>314</v>
      </c>
      <c r="M78" s="40" t="s">
        <v>105</v>
      </c>
      <c r="N78" s="41" t="s">
        <v>153</v>
      </c>
      <c r="O78" s="41" t="s">
        <v>273</v>
      </c>
      <c r="P78" s="97" t="s">
        <v>493</v>
      </c>
    </row>
    <row r="79" spans="1:16" s="42" customFormat="1" ht="25.5" x14ac:dyDescent="0.25">
      <c r="A79" s="58">
        <v>77</v>
      </c>
      <c r="B79" s="87">
        <v>2186</v>
      </c>
      <c r="C79" s="86" t="s">
        <v>197</v>
      </c>
      <c r="D79" s="53" t="s">
        <v>211</v>
      </c>
      <c r="E79" s="38" t="s">
        <v>406</v>
      </c>
      <c r="F79" s="38" t="s">
        <v>278</v>
      </c>
      <c r="G79" s="38" t="s">
        <v>212</v>
      </c>
      <c r="H79" s="38"/>
      <c r="I79" s="38"/>
      <c r="J79" s="39">
        <v>44020</v>
      </c>
      <c r="K79" s="40" t="s">
        <v>213</v>
      </c>
      <c r="L79" s="40" t="s">
        <v>214</v>
      </c>
      <c r="M79" s="46" t="s">
        <v>72</v>
      </c>
      <c r="N79" s="41" t="s">
        <v>205</v>
      </c>
      <c r="O79" s="41" t="s">
        <v>404</v>
      </c>
      <c r="P79" s="42" t="s">
        <v>493</v>
      </c>
    </row>
    <row r="80" spans="1:16" s="23" customFormat="1" ht="13.5" x14ac:dyDescent="0.25">
      <c r="A80" s="70">
        <v>78</v>
      </c>
      <c r="B80" s="18">
        <v>2215</v>
      </c>
      <c r="C80" s="24" t="s">
        <v>197</v>
      </c>
      <c r="D80" s="49" t="s">
        <v>232</v>
      </c>
      <c r="E80" s="71" t="s">
        <v>445</v>
      </c>
      <c r="F80" s="18" t="s">
        <v>278</v>
      </c>
      <c r="G80" s="18" t="s">
        <v>44</v>
      </c>
      <c r="H80" s="19">
        <v>44237</v>
      </c>
      <c r="I80" s="20">
        <f>H80+180</f>
        <v>44417</v>
      </c>
      <c r="J80" s="19">
        <v>44237</v>
      </c>
      <c r="K80" s="24" t="s">
        <v>233</v>
      </c>
      <c r="L80" s="24" t="s">
        <v>234</v>
      </c>
      <c r="M80" s="21" t="s">
        <v>235</v>
      </c>
      <c r="N80" s="25" t="s">
        <v>153</v>
      </c>
      <c r="O80" s="25" t="s">
        <v>177</v>
      </c>
    </row>
    <row r="81" spans="1:16" s="23" customFormat="1" ht="15" customHeight="1" x14ac:dyDescent="0.25">
      <c r="A81" s="70">
        <v>79</v>
      </c>
      <c r="B81" s="18">
        <v>2220</v>
      </c>
      <c r="C81" s="18" t="s">
        <v>197</v>
      </c>
      <c r="D81" s="49" t="s">
        <v>215</v>
      </c>
      <c r="E81" s="18" t="s">
        <v>373</v>
      </c>
      <c r="F81" s="18" t="s">
        <v>278</v>
      </c>
      <c r="G81" s="18" t="s">
        <v>219</v>
      </c>
      <c r="H81" s="20">
        <v>44264</v>
      </c>
      <c r="I81" s="20">
        <v>44804</v>
      </c>
      <c r="J81" s="19">
        <v>44254</v>
      </c>
      <c r="K81" s="24" t="s">
        <v>216</v>
      </c>
      <c r="L81" s="21" t="s">
        <v>217</v>
      </c>
      <c r="M81" s="24" t="s">
        <v>102</v>
      </c>
      <c r="N81" s="26" t="s">
        <v>205</v>
      </c>
      <c r="O81" s="25" t="s">
        <v>177</v>
      </c>
    </row>
    <row r="82" spans="1:16" s="42" customFormat="1" ht="15" customHeight="1" x14ac:dyDescent="0.25">
      <c r="A82" s="58">
        <v>80</v>
      </c>
      <c r="B82" s="38">
        <v>2222</v>
      </c>
      <c r="C82" s="38" t="s">
        <v>197</v>
      </c>
      <c r="D82" s="53" t="s">
        <v>218</v>
      </c>
      <c r="E82" s="67" t="s">
        <v>346</v>
      </c>
      <c r="F82" s="38" t="s">
        <v>277</v>
      </c>
      <c r="G82" s="38" t="s">
        <v>50</v>
      </c>
      <c r="H82" s="38"/>
      <c r="I82" s="38"/>
      <c r="J82" s="39">
        <v>44228</v>
      </c>
      <c r="K82" s="194" t="s">
        <v>221</v>
      </c>
      <c r="L82" s="195" t="s">
        <v>222</v>
      </c>
      <c r="M82" s="40" t="s">
        <v>176</v>
      </c>
      <c r="N82" s="41"/>
      <c r="O82" s="41" t="s">
        <v>223</v>
      </c>
      <c r="P82" s="97" t="s">
        <v>493</v>
      </c>
    </row>
    <row r="83" spans="1:16" s="42" customFormat="1" ht="15" customHeight="1" x14ac:dyDescent="0.25">
      <c r="A83" s="58">
        <v>81</v>
      </c>
      <c r="B83" s="38">
        <v>2223</v>
      </c>
      <c r="C83" s="38" t="s">
        <v>197</v>
      </c>
      <c r="D83" s="53" t="s">
        <v>220</v>
      </c>
      <c r="E83" s="67" t="s">
        <v>343</v>
      </c>
      <c r="F83" s="38" t="s">
        <v>278</v>
      </c>
      <c r="G83" s="38" t="s">
        <v>50</v>
      </c>
      <c r="H83" s="38"/>
      <c r="I83" s="38"/>
      <c r="J83" s="39">
        <v>44228</v>
      </c>
      <c r="K83" s="194"/>
      <c r="L83" s="196"/>
      <c r="M83" s="40" t="s">
        <v>176</v>
      </c>
      <c r="N83" s="41"/>
      <c r="O83" s="41" t="s">
        <v>223</v>
      </c>
      <c r="P83" s="97" t="s">
        <v>493</v>
      </c>
    </row>
    <row r="84" spans="1:16" s="42" customFormat="1" ht="15" customHeight="1" x14ac:dyDescent="0.25">
      <c r="A84" s="58">
        <v>82</v>
      </c>
      <c r="B84" s="38">
        <v>2224</v>
      </c>
      <c r="C84" s="38" t="s">
        <v>197</v>
      </c>
      <c r="D84" s="53" t="s">
        <v>224</v>
      </c>
      <c r="E84" s="38" t="s">
        <v>448</v>
      </c>
      <c r="F84" s="38" t="s">
        <v>277</v>
      </c>
      <c r="G84" s="38" t="s">
        <v>225</v>
      </c>
      <c r="H84" s="38"/>
      <c r="I84" s="38"/>
      <c r="J84" s="39">
        <v>44280</v>
      </c>
      <c r="K84" s="40" t="s">
        <v>236</v>
      </c>
      <c r="L84" s="40" t="s">
        <v>226</v>
      </c>
      <c r="M84" s="40" t="s">
        <v>102</v>
      </c>
      <c r="N84" s="41" t="s">
        <v>205</v>
      </c>
      <c r="O84" s="45" t="s">
        <v>237</v>
      </c>
      <c r="P84" s="42" t="s">
        <v>493</v>
      </c>
    </row>
    <row r="85" spans="1:16" s="10" customFormat="1" ht="15" customHeight="1" x14ac:dyDescent="0.25">
      <c r="A85" s="35">
        <v>83</v>
      </c>
      <c r="B85" s="28">
        <v>2227</v>
      </c>
      <c r="C85" s="28" t="s">
        <v>197</v>
      </c>
      <c r="D85" s="50" t="s">
        <v>227</v>
      </c>
      <c r="E85" s="72" t="s">
        <v>443</v>
      </c>
      <c r="F85" s="28" t="s">
        <v>278</v>
      </c>
      <c r="G85" s="28" t="s">
        <v>228</v>
      </c>
      <c r="H85" s="28"/>
      <c r="I85" s="28"/>
      <c r="J85" s="29">
        <v>44275</v>
      </c>
      <c r="K85" s="30" t="s">
        <v>239</v>
      </c>
      <c r="L85" s="34" t="s">
        <v>238</v>
      </c>
      <c r="M85" s="30" t="s">
        <v>155</v>
      </c>
      <c r="N85" s="31" t="s">
        <v>153</v>
      </c>
      <c r="O85" s="31" t="s">
        <v>384</v>
      </c>
    </row>
    <row r="86" spans="1:16" s="42" customFormat="1" ht="15" customHeight="1" x14ac:dyDescent="0.25">
      <c r="A86" s="58">
        <v>84</v>
      </c>
      <c r="B86" s="38">
        <v>2228</v>
      </c>
      <c r="C86" s="38" t="s">
        <v>197</v>
      </c>
      <c r="D86" s="53" t="s">
        <v>230</v>
      </c>
      <c r="E86" s="67" t="s">
        <v>347</v>
      </c>
      <c r="F86" s="38" t="s">
        <v>277</v>
      </c>
      <c r="G86" s="38" t="s">
        <v>50</v>
      </c>
      <c r="H86" s="38"/>
      <c r="I86" s="38"/>
      <c r="J86" s="39">
        <v>44278</v>
      </c>
      <c r="K86" s="40" t="s">
        <v>231</v>
      </c>
      <c r="L86" s="40" t="s">
        <v>229</v>
      </c>
      <c r="M86" s="40" t="s">
        <v>176</v>
      </c>
      <c r="N86" s="41"/>
      <c r="O86" s="45" t="s">
        <v>426</v>
      </c>
      <c r="P86" s="97" t="s">
        <v>493</v>
      </c>
    </row>
    <row r="87" spans="1:16" s="23" customFormat="1" ht="15" customHeight="1" x14ac:dyDescent="0.25">
      <c r="A87" s="70">
        <v>85</v>
      </c>
      <c r="B87" s="18">
        <v>2221</v>
      </c>
      <c r="C87" s="18" t="s">
        <v>95</v>
      </c>
      <c r="D87" s="49" t="s">
        <v>242</v>
      </c>
      <c r="E87" s="71" t="s">
        <v>439</v>
      </c>
      <c r="F87" s="18" t="s">
        <v>277</v>
      </c>
      <c r="G87" s="18" t="s">
        <v>245</v>
      </c>
      <c r="H87" s="20">
        <v>44189</v>
      </c>
      <c r="I87" s="20">
        <v>44553</v>
      </c>
      <c r="J87" s="19">
        <v>44189</v>
      </c>
      <c r="K87" s="24" t="s">
        <v>246</v>
      </c>
      <c r="L87" s="24" t="s">
        <v>247</v>
      </c>
      <c r="M87" s="24" t="s">
        <v>248</v>
      </c>
      <c r="N87" s="25" t="s">
        <v>200</v>
      </c>
      <c r="O87" s="22" t="s">
        <v>157</v>
      </c>
    </row>
    <row r="88" spans="1:16" s="23" customFormat="1" ht="15" customHeight="1" x14ac:dyDescent="0.25">
      <c r="A88" s="70">
        <v>86</v>
      </c>
      <c r="B88" s="18">
        <v>2226</v>
      </c>
      <c r="C88" s="18" t="s">
        <v>95</v>
      </c>
      <c r="D88" s="49" t="s">
        <v>244</v>
      </c>
      <c r="E88" s="75" t="s">
        <v>441</v>
      </c>
      <c r="F88" s="18" t="s">
        <v>278</v>
      </c>
      <c r="G88" s="18" t="s">
        <v>245</v>
      </c>
      <c r="H88" s="20">
        <v>44189</v>
      </c>
      <c r="I88" s="20">
        <v>44553</v>
      </c>
      <c r="J88" s="19">
        <v>44254</v>
      </c>
      <c r="K88" s="24" t="s">
        <v>246</v>
      </c>
      <c r="L88" s="24" t="s">
        <v>247</v>
      </c>
      <c r="M88" s="24" t="s">
        <v>248</v>
      </c>
      <c r="N88" s="25" t="s">
        <v>205</v>
      </c>
      <c r="O88" s="22" t="s">
        <v>157</v>
      </c>
    </row>
    <row r="89" spans="1:16" s="23" customFormat="1" ht="15" customHeight="1" x14ac:dyDescent="0.25">
      <c r="A89" s="70">
        <v>87</v>
      </c>
      <c r="B89" s="18">
        <v>2221</v>
      </c>
      <c r="C89" s="18" t="s">
        <v>197</v>
      </c>
      <c r="D89" s="49" t="s">
        <v>242</v>
      </c>
      <c r="E89" s="71" t="s">
        <v>439</v>
      </c>
      <c r="F89" s="18" t="s">
        <v>278</v>
      </c>
      <c r="G89" s="18" t="s">
        <v>245</v>
      </c>
      <c r="H89" s="20">
        <v>44448</v>
      </c>
      <c r="I89" s="20">
        <v>44812</v>
      </c>
      <c r="J89" s="19">
        <v>44210</v>
      </c>
      <c r="K89" s="24" t="s">
        <v>246</v>
      </c>
      <c r="L89" s="24" t="s">
        <v>247</v>
      </c>
      <c r="M89" s="24" t="s">
        <v>248</v>
      </c>
      <c r="N89" s="25" t="s">
        <v>205</v>
      </c>
      <c r="O89" s="22" t="s">
        <v>157</v>
      </c>
    </row>
    <row r="90" spans="1:16" s="23" customFormat="1" ht="15" customHeight="1" x14ac:dyDescent="0.25">
      <c r="A90" s="70">
        <v>88</v>
      </c>
      <c r="B90" s="18">
        <v>2226</v>
      </c>
      <c r="C90" s="18" t="s">
        <v>197</v>
      </c>
      <c r="D90" s="49" t="s">
        <v>244</v>
      </c>
      <c r="E90" s="75" t="s">
        <v>441</v>
      </c>
      <c r="F90" s="18" t="s">
        <v>278</v>
      </c>
      <c r="G90" s="18" t="s">
        <v>245</v>
      </c>
      <c r="H90" s="20">
        <v>44448</v>
      </c>
      <c r="I90" s="20">
        <v>44812</v>
      </c>
      <c r="J90" s="19">
        <v>44252</v>
      </c>
      <c r="K90" s="24" t="s">
        <v>246</v>
      </c>
      <c r="L90" s="24" t="s">
        <v>247</v>
      </c>
      <c r="M90" s="24" t="s">
        <v>248</v>
      </c>
      <c r="N90" s="25" t="s">
        <v>205</v>
      </c>
      <c r="O90" s="22" t="s">
        <v>157</v>
      </c>
    </row>
    <row r="91" spans="1:16" s="23" customFormat="1" ht="15" customHeight="1" x14ac:dyDescent="0.25">
      <c r="A91" s="70">
        <v>89</v>
      </c>
      <c r="B91" s="18">
        <v>2225</v>
      </c>
      <c r="C91" s="18" t="s">
        <v>197</v>
      </c>
      <c r="D91" s="49" t="s">
        <v>243</v>
      </c>
      <c r="E91" s="75" t="s">
        <v>440</v>
      </c>
      <c r="F91" s="18" t="s">
        <v>278</v>
      </c>
      <c r="G91" s="18" t="s">
        <v>245</v>
      </c>
      <c r="H91" s="20">
        <v>44448</v>
      </c>
      <c r="I91" s="20">
        <v>44812</v>
      </c>
      <c r="J91" s="19">
        <v>44262</v>
      </c>
      <c r="K91" s="24" t="s">
        <v>246</v>
      </c>
      <c r="L91" s="24" t="s">
        <v>247</v>
      </c>
      <c r="M91" s="24" t="s">
        <v>248</v>
      </c>
      <c r="N91" s="25" t="s">
        <v>205</v>
      </c>
      <c r="O91" s="22" t="s">
        <v>157</v>
      </c>
    </row>
    <row r="92" spans="1:16" s="23" customFormat="1" ht="15" customHeight="1" x14ac:dyDescent="0.25">
      <c r="A92" s="70">
        <v>91</v>
      </c>
      <c r="B92" s="18">
        <v>2221</v>
      </c>
      <c r="C92" s="18" t="s">
        <v>249</v>
      </c>
      <c r="D92" s="49" t="s">
        <v>242</v>
      </c>
      <c r="E92" s="71" t="s">
        <v>439</v>
      </c>
      <c r="F92" s="18" t="s">
        <v>278</v>
      </c>
      <c r="G92" s="18" t="s">
        <v>245</v>
      </c>
      <c r="H92" s="20">
        <v>44446</v>
      </c>
      <c r="I92" s="20">
        <v>44812</v>
      </c>
      <c r="J92" s="19">
        <v>44215</v>
      </c>
      <c r="K92" s="24" t="s">
        <v>246</v>
      </c>
      <c r="L92" s="24" t="s">
        <v>247</v>
      </c>
      <c r="M92" s="24" t="s">
        <v>248</v>
      </c>
      <c r="N92" s="25" t="s">
        <v>205</v>
      </c>
      <c r="O92" s="22" t="s">
        <v>157</v>
      </c>
    </row>
    <row r="93" spans="1:16" s="42" customFormat="1" ht="15" customHeight="1" x14ac:dyDescent="0.25">
      <c r="A93" s="58">
        <v>92</v>
      </c>
      <c r="B93" s="38">
        <v>2231</v>
      </c>
      <c r="C93" s="38" t="s">
        <v>197</v>
      </c>
      <c r="D93" s="76" t="s">
        <v>240</v>
      </c>
      <c r="E93" s="60" t="s">
        <v>449</v>
      </c>
      <c r="F93" s="55" t="s">
        <v>278</v>
      </c>
      <c r="G93" s="38" t="s">
        <v>219</v>
      </c>
      <c r="H93" s="38"/>
      <c r="I93" s="38"/>
      <c r="J93" s="39">
        <v>44295</v>
      </c>
      <c r="K93" s="40" t="s">
        <v>241</v>
      </c>
      <c r="L93" s="46" t="s">
        <v>217</v>
      </c>
      <c r="M93" s="40" t="s">
        <v>102</v>
      </c>
      <c r="N93" s="47" t="s">
        <v>205</v>
      </c>
      <c r="O93" s="47" t="s">
        <v>202</v>
      </c>
      <c r="P93" s="42" t="s">
        <v>493</v>
      </c>
    </row>
    <row r="94" spans="1:16" s="42" customFormat="1" ht="15" customHeight="1" x14ac:dyDescent="0.25">
      <c r="A94" s="58">
        <v>93</v>
      </c>
      <c r="B94" s="38"/>
      <c r="C94" s="38" t="s">
        <v>197</v>
      </c>
      <c r="D94" s="53" t="s">
        <v>321</v>
      </c>
      <c r="E94" s="38" t="s">
        <v>335</v>
      </c>
      <c r="F94" s="38" t="s">
        <v>277</v>
      </c>
      <c r="G94" s="40" t="s">
        <v>45</v>
      </c>
      <c r="H94" s="40"/>
      <c r="I94" s="40"/>
      <c r="J94" s="39">
        <v>44206</v>
      </c>
      <c r="K94" s="40" t="s">
        <v>315</v>
      </c>
      <c r="L94" s="40" t="s">
        <v>316</v>
      </c>
      <c r="M94" s="40" t="s">
        <v>105</v>
      </c>
      <c r="N94" s="41" t="s">
        <v>153</v>
      </c>
      <c r="O94" s="41" t="s">
        <v>273</v>
      </c>
      <c r="P94" s="97" t="s">
        <v>493</v>
      </c>
    </row>
    <row r="95" spans="1:16" s="42" customFormat="1" ht="15" customHeight="1" x14ac:dyDescent="0.25">
      <c r="A95" s="58">
        <v>94</v>
      </c>
      <c r="B95" s="38"/>
      <c r="C95" s="38" t="s">
        <v>197</v>
      </c>
      <c r="D95" s="53" t="s">
        <v>274</v>
      </c>
      <c r="E95" s="38" t="s">
        <v>336</v>
      </c>
      <c r="F95" s="38" t="s">
        <v>277</v>
      </c>
      <c r="G95" s="40" t="s">
        <v>45</v>
      </c>
      <c r="H95" s="40"/>
      <c r="I95" s="40"/>
      <c r="J95" s="39">
        <v>44277</v>
      </c>
      <c r="K95" s="40" t="s">
        <v>319</v>
      </c>
      <c r="L95" s="40" t="s">
        <v>316</v>
      </c>
      <c r="M95" s="40" t="s">
        <v>105</v>
      </c>
      <c r="N95" s="41" t="s">
        <v>153</v>
      </c>
      <c r="O95" s="41" t="s">
        <v>273</v>
      </c>
      <c r="P95" s="97" t="s">
        <v>493</v>
      </c>
    </row>
    <row r="96" spans="1:16" s="42" customFormat="1" ht="15" customHeight="1" x14ac:dyDescent="0.25">
      <c r="A96" s="58">
        <v>95</v>
      </c>
      <c r="B96" s="38">
        <v>2076</v>
      </c>
      <c r="C96" s="38" t="s">
        <v>197</v>
      </c>
      <c r="D96" s="53" t="s">
        <v>275</v>
      </c>
      <c r="E96" s="38" t="s">
        <v>337</v>
      </c>
      <c r="F96" s="38" t="s">
        <v>277</v>
      </c>
      <c r="G96" s="40" t="s">
        <v>45</v>
      </c>
      <c r="H96" s="40"/>
      <c r="I96" s="40"/>
      <c r="J96" s="39">
        <v>44234</v>
      </c>
      <c r="K96" s="40" t="s">
        <v>315</v>
      </c>
      <c r="L96" s="40" t="s">
        <v>320</v>
      </c>
      <c r="M96" s="40" t="s">
        <v>105</v>
      </c>
      <c r="N96" s="41" t="s">
        <v>153</v>
      </c>
      <c r="O96" s="41" t="s">
        <v>273</v>
      </c>
      <c r="P96" s="97" t="s">
        <v>493</v>
      </c>
    </row>
    <row r="97" spans="1:16" s="42" customFormat="1" ht="15" customHeight="1" x14ac:dyDescent="0.25">
      <c r="A97" s="58">
        <v>97</v>
      </c>
      <c r="B97" s="38">
        <v>2233</v>
      </c>
      <c r="C97" s="38" t="s">
        <v>197</v>
      </c>
      <c r="D97" s="53" t="s">
        <v>250</v>
      </c>
      <c r="E97" s="67" t="s">
        <v>348</v>
      </c>
      <c r="F97" s="38" t="s">
        <v>277</v>
      </c>
      <c r="G97" s="38" t="s">
        <v>50</v>
      </c>
      <c r="H97" s="38"/>
      <c r="I97" s="38"/>
      <c r="J97" s="39">
        <v>44347</v>
      </c>
      <c r="K97" s="46" t="s">
        <v>251</v>
      </c>
      <c r="L97" s="46" t="s">
        <v>252</v>
      </c>
      <c r="M97" s="40" t="s">
        <v>176</v>
      </c>
      <c r="N97" s="41"/>
      <c r="O97" s="45" t="s">
        <v>426</v>
      </c>
      <c r="P97" s="97" t="s">
        <v>493</v>
      </c>
    </row>
    <row r="98" spans="1:16" s="42" customFormat="1" ht="15" customHeight="1" x14ac:dyDescent="0.25">
      <c r="A98" s="58">
        <v>98</v>
      </c>
      <c r="B98" s="38">
        <v>2235</v>
      </c>
      <c r="C98" s="38" t="s">
        <v>197</v>
      </c>
      <c r="D98" s="53" t="s">
        <v>253</v>
      </c>
      <c r="E98" s="77" t="s">
        <v>349</v>
      </c>
      <c r="F98" s="38" t="s">
        <v>277</v>
      </c>
      <c r="G98" s="38" t="s">
        <v>50</v>
      </c>
      <c r="H98" s="38"/>
      <c r="I98" s="38"/>
      <c r="J98" s="39">
        <v>44372</v>
      </c>
      <c r="K98" s="40" t="s">
        <v>254</v>
      </c>
      <c r="L98" s="40" t="s">
        <v>252</v>
      </c>
      <c r="M98" s="40" t="s">
        <v>176</v>
      </c>
      <c r="N98" s="41"/>
      <c r="O98" s="45" t="s">
        <v>426</v>
      </c>
      <c r="P98" s="97" t="s">
        <v>493</v>
      </c>
    </row>
    <row r="99" spans="1:16" s="42" customFormat="1" ht="15" customHeight="1" x14ac:dyDescent="0.25">
      <c r="A99" s="58">
        <v>99</v>
      </c>
      <c r="B99" s="38">
        <v>2234</v>
      </c>
      <c r="C99" s="38" t="s">
        <v>197</v>
      </c>
      <c r="D99" s="53" t="s">
        <v>255</v>
      </c>
      <c r="E99" s="78" t="s">
        <v>473</v>
      </c>
      <c r="F99" s="38" t="s">
        <v>277</v>
      </c>
      <c r="G99" s="38" t="s">
        <v>228</v>
      </c>
      <c r="H99" s="38"/>
      <c r="I99" s="38"/>
      <c r="J99" s="39">
        <v>44363</v>
      </c>
      <c r="K99" s="40" t="s">
        <v>256</v>
      </c>
      <c r="L99" s="40" t="s">
        <v>257</v>
      </c>
      <c r="M99" s="40" t="s">
        <v>165</v>
      </c>
      <c r="N99" s="41" t="s">
        <v>205</v>
      </c>
      <c r="O99" s="45" t="s">
        <v>237</v>
      </c>
      <c r="P99" s="42" t="s">
        <v>493</v>
      </c>
    </row>
    <row r="100" spans="1:16" s="42" customFormat="1" ht="15" x14ac:dyDescent="0.25">
      <c r="A100" s="58">
        <v>100</v>
      </c>
      <c r="B100" s="38">
        <v>2238</v>
      </c>
      <c r="C100" s="38" t="s">
        <v>197</v>
      </c>
      <c r="D100" s="57" t="s">
        <v>280</v>
      </c>
      <c r="E100" s="77" t="s">
        <v>474</v>
      </c>
      <c r="F100" s="38" t="s">
        <v>277</v>
      </c>
      <c r="G100" s="38" t="s">
        <v>124</v>
      </c>
      <c r="H100" s="38"/>
      <c r="I100" s="38"/>
      <c r="J100" s="39">
        <v>44420</v>
      </c>
      <c r="K100" s="40" t="s">
        <v>284</v>
      </c>
      <c r="L100" s="40" t="s">
        <v>285</v>
      </c>
      <c r="M100" s="40" t="s">
        <v>102</v>
      </c>
      <c r="N100" s="47"/>
      <c r="O100" s="41" t="s">
        <v>283</v>
      </c>
      <c r="P100" s="42" t="s">
        <v>493</v>
      </c>
    </row>
    <row r="101" spans="1:16" s="42" customFormat="1" ht="15" x14ac:dyDescent="0.25">
      <c r="A101" s="58">
        <v>101</v>
      </c>
      <c r="B101" s="38">
        <v>2239</v>
      </c>
      <c r="C101" s="38" t="s">
        <v>197</v>
      </c>
      <c r="D101" s="57" t="s">
        <v>281</v>
      </c>
      <c r="E101" s="77" t="s">
        <v>475</v>
      </c>
      <c r="F101" s="38" t="s">
        <v>277</v>
      </c>
      <c r="G101" s="38" t="s">
        <v>124</v>
      </c>
      <c r="H101" s="38"/>
      <c r="I101" s="38"/>
      <c r="J101" s="39">
        <v>44420</v>
      </c>
      <c r="K101" s="40" t="s">
        <v>284</v>
      </c>
      <c r="L101" s="40" t="s">
        <v>285</v>
      </c>
      <c r="M101" s="40" t="s">
        <v>102</v>
      </c>
      <c r="N101" s="47"/>
      <c r="O101" s="41" t="s">
        <v>283</v>
      </c>
      <c r="P101" s="42" t="s">
        <v>493</v>
      </c>
    </row>
    <row r="102" spans="1:16" s="42" customFormat="1" ht="13.5" x14ac:dyDescent="0.25">
      <c r="A102" s="58">
        <v>102</v>
      </c>
      <c r="B102" s="38">
        <v>2240</v>
      </c>
      <c r="C102" s="38" t="s">
        <v>197</v>
      </c>
      <c r="D102" s="57" t="s">
        <v>282</v>
      </c>
      <c r="E102" s="67" t="s">
        <v>476</v>
      </c>
      <c r="F102" s="38" t="s">
        <v>277</v>
      </c>
      <c r="G102" s="38" t="s">
        <v>124</v>
      </c>
      <c r="H102" s="38"/>
      <c r="I102" s="38"/>
      <c r="J102" s="39">
        <v>44427</v>
      </c>
      <c r="K102" s="40" t="s">
        <v>286</v>
      </c>
      <c r="L102" s="40" t="s">
        <v>287</v>
      </c>
      <c r="M102" s="40" t="s">
        <v>235</v>
      </c>
      <c r="N102" s="47"/>
      <c r="O102" s="45" t="s">
        <v>237</v>
      </c>
      <c r="P102" s="42" t="s">
        <v>493</v>
      </c>
    </row>
    <row r="103" spans="1:16" s="23" customFormat="1" ht="25.5" x14ac:dyDescent="0.25">
      <c r="A103" s="70">
        <v>103</v>
      </c>
      <c r="B103" s="18">
        <v>2242</v>
      </c>
      <c r="C103" s="18" t="s">
        <v>197</v>
      </c>
      <c r="D103" s="79" t="s">
        <v>288</v>
      </c>
      <c r="E103" s="36" t="s">
        <v>451</v>
      </c>
      <c r="F103" s="18" t="s">
        <v>277</v>
      </c>
      <c r="G103" s="18" t="s">
        <v>228</v>
      </c>
      <c r="H103" s="20">
        <v>44428</v>
      </c>
      <c r="I103" s="20">
        <v>44804</v>
      </c>
      <c r="J103" s="80">
        <v>44428</v>
      </c>
      <c r="K103" s="81" t="s">
        <v>294</v>
      </c>
      <c r="L103" s="81" t="s">
        <v>257</v>
      </c>
      <c r="M103" s="24" t="s">
        <v>165</v>
      </c>
      <c r="N103" s="26"/>
      <c r="O103" s="25" t="s">
        <v>295</v>
      </c>
    </row>
    <row r="104" spans="1:16" s="23" customFormat="1" x14ac:dyDescent="0.25">
      <c r="A104" s="70">
        <v>104</v>
      </c>
      <c r="B104" s="18">
        <v>2241</v>
      </c>
      <c r="C104" s="18" t="s">
        <v>197</v>
      </c>
      <c r="D104" s="79" t="s">
        <v>289</v>
      </c>
      <c r="E104" s="37" t="s">
        <v>452</v>
      </c>
      <c r="F104" s="18" t="s">
        <v>277</v>
      </c>
      <c r="G104" s="18" t="s">
        <v>228</v>
      </c>
      <c r="H104" s="20">
        <v>44428</v>
      </c>
      <c r="I104" s="20">
        <v>44804</v>
      </c>
      <c r="J104" s="80">
        <v>44428</v>
      </c>
      <c r="K104" s="81" t="s">
        <v>294</v>
      </c>
      <c r="L104" s="81" t="s">
        <v>257</v>
      </c>
      <c r="M104" s="24" t="s">
        <v>165</v>
      </c>
      <c r="N104" s="26"/>
      <c r="O104" s="25" t="s">
        <v>295</v>
      </c>
    </row>
    <row r="105" spans="1:16" s="23" customFormat="1" x14ac:dyDescent="0.25">
      <c r="A105" s="70">
        <v>105</v>
      </c>
      <c r="B105" s="18">
        <v>2242</v>
      </c>
      <c r="C105" s="18" t="s">
        <v>197</v>
      </c>
      <c r="D105" s="79" t="s">
        <v>290</v>
      </c>
      <c r="E105" s="37" t="s">
        <v>453</v>
      </c>
      <c r="F105" s="18" t="s">
        <v>277</v>
      </c>
      <c r="G105" s="18" t="s">
        <v>228</v>
      </c>
      <c r="H105" s="20">
        <v>44428</v>
      </c>
      <c r="I105" s="20">
        <v>44804</v>
      </c>
      <c r="J105" s="80">
        <v>44428</v>
      </c>
      <c r="K105" s="81" t="s">
        <v>294</v>
      </c>
      <c r="L105" s="81" t="s">
        <v>257</v>
      </c>
      <c r="M105" s="24" t="s">
        <v>165</v>
      </c>
      <c r="N105" s="26"/>
      <c r="O105" s="25" t="s">
        <v>295</v>
      </c>
    </row>
    <row r="106" spans="1:16" s="23" customFormat="1" x14ac:dyDescent="0.25">
      <c r="A106" s="70">
        <v>106</v>
      </c>
      <c r="B106" s="18">
        <v>2242</v>
      </c>
      <c r="C106" s="18" t="s">
        <v>197</v>
      </c>
      <c r="D106" s="79" t="s">
        <v>291</v>
      </c>
      <c r="E106" s="37" t="s">
        <v>454</v>
      </c>
      <c r="F106" s="18" t="s">
        <v>277</v>
      </c>
      <c r="G106" s="18" t="s">
        <v>228</v>
      </c>
      <c r="H106" s="20">
        <v>44428</v>
      </c>
      <c r="I106" s="20">
        <v>44804</v>
      </c>
      <c r="J106" s="80">
        <v>44428</v>
      </c>
      <c r="K106" s="81" t="s">
        <v>294</v>
      </c>
      <c r="L106" s="81" t="s">
        <v>257</v>
      </c>
      <c r="M106" s="24" t="s">
        <v>165</v>
      </c>
      <c r="N106" s="26"/>
      <c r="O106" s="25" t="s">
        <v>295</v>
      </c>
    </row>
    <row r="107" spans="1:16" s="23" customFormat="1" ht="25.5" x14ac:dyDescent="0.25">
      <c r="A107" s="70">
        <v>107</v>
      </c>
      <c r="B107" s="18">
        <v>2242</v>
      </c>
      <c r="C107" s="18" t="s">
        <v>197</v>
      </c>
      <c r="D107" s="82" t="s">
        <v>292</v>
      </c>
      <c r="E107" s="36" t="s">
        <v>455</v>
      </c>
      <c r="F107" s="18" t="s">
        <v>293</v>
      </c>
      <c r="G107" s="18" t="s">
        <v>228</v>
      </c>
      <c r="H107" s="20">
        <v>44428</v>
      </c>
      <c r="I107" s="20">
        <v>44804</v>
      </c>
      <c r="J107" s="80">
        <v>44428</v>
      </c>
      <c r="K107" s="81" t="s">
        <v>294</v>
      </c>
      <c r="L107" s="81" t="s">
        <v>257</v>
      </c>
      <c r="M107" s="24" t="s">
        <v>165</v>
      </c>
      <c r="N107" s="26"/>
      <c r="O107" s="25" t="s">
        <v>295</v>
      </c>
    </row>
    <row r="108" spans="1:16" s="42" customFormat="1" ht="15" x14ac:dyDescent="0.25">
      <c r="A108" s="58">
        <v>108</v>
      </c>
      <c r="B108" s="38">
        <v>2243</v>
      </c>
      <c r="C108" s="38" t="s">
        <v>197</v>
      </c>
      <c r="D108" s="59" t="s">
        <v>296</v>
      </c>
      <c r="E108" s="60" t="s">
        <v>424</v>
      </c>
      <c r="F108" s="38" t="s">
        <v>277</v>
      </c>
      <c r="G108" s="38" t="s">
        <v>44</v>
      </c>
      <c r="H108" s="38"/>
      <c r="I108" s="38"/>
      <c r="J108" s="39">
        <v>44469</v>
      </c>
      <c r="K108" s="40" t="s">
        <v>297</v>
      </c>
      <c r="L108" s="40" t="s">
        <v>298</v>
      </c>
      <c r="M108" s="40" t="s">
        <v>176</v>
      </c>
      <c r="N108" s="47"/>
      <c r="O108" s="41" t="s">
        <v>426</v>
      </c>
      <c r="P108" s="97" t="s">
        <v>493</v>
      </c>
    </row>
    <row r="109" spans="1:16" s="42" customFormat="1" x14ac:dyDescent="0.25">
      <c r="A109" s="58">
        <v>109</v>
      </c>
      <c r="B109" s="84"/>
      <c r="C109" s="38" t="s">
        <v>197</v>
      </c>
      <c r="D109" s="61" t="s">
        <v>300</v>
      </c>
      <c r="E109" s="41" t="s">
        <v>450</v>
      </c>
      <c r="F109" s="55" t="s">
        <v>277</v>
      </c>
      <c r="G109" s="38" t="s">
        <v>44</v>
      </c>
      <c r="H109" s="38"/>
      <c r="I109" s="38"/>
      <c r="J109" s="48">
        <v>44478</v>
      </c>
      <c r="K109" s="41" t="s">
        <v>284</v>
      </c>
      <c r="L109" s="41" t="s">
        <v>301</v>
      </c>
      <c r="M109" s="41" t="s">
        <v>102</v>
      </c>
      <c r="N109" s="47"/>
      <c r="O109" s="41" t="s">
        <v>299</v>
      </c>
      <c r="P109" s="42" t="s">
        <v>493</v>
      </c>
    </row>
    <row r="110" spans="1:16" s="42" customFormat="1" ht="12.75" customHeight="1" x14ac:dyDescent="0.25">
      <c r="A110" s="58">
        <v>110</v>
      </c>
      <c r="B110" s="84"/>
      <c r="C110" s="40" t="s">
        <v>197</v>
      </c>
      <c r="D110" s="62" t="s">
        <v>407</v>
      </c>
      <c r="E110" s="45" t="s">
        <v>408</v>
      </c>
      <c r="F110" s="55" t="s">
        <v>277</v>
      </c>
      <c r="G110" s="38" t="s">
        <v>51</v>
      </c>
      <c r="H110" s="38"/>
      <c r="I110" s="38"/>
      <c r="J110" s="48">
        <v>44338</v>
      </c>
      <c r="K110" s="41" t="s">
        <v>409</v>
      </c>
      <c r="L110" s="45" t="s">
        <v>204</v>
      </c>
      <c r="M110" s="46" t="s">
        <v>72</v>
      </c>
      <c r="N110" s="41" t="s">
        <v>205</v>
      </c>
      <c r="O110" s="41" t="s">
        <v>404</v>
      </c>
      <c r="P110" s="42" t="s">
        <v>493</v>
      </c>
    </row>
    <row r="111" spans="1:16" s="42" customFormat="1" x14ac:dyDescent="0.25">
      <c r="A111" s="58">
        <v>111</v>
      </c>
      <c r="B111" s="84"/>
      <c r="C111" s="40" t="s">
        <v>197</v>
      </c>
      <c r="D111" s="61" t="s">
        <v>410</v>
      </c>
      <c r="E111" s="41" t="s">
        <v>411</v>
      </c>
      <c r="F111" s="55" t="s">
        <v>277</v>
      </c>
      <c r="G111" s="38" t="s">
        <v>51</v>
      </c>
      <c r="H111" s="38"/>
      <c r="I111" s="38"/>
      <c r="J111" s="48">
        <v>44391</v>
      </c>
      <c r="K111" s="41" t="s">
        <v>412</v>
      </c>
      <c r="L111" s="41" t="s">
        <v>204</v>
      </c>
      <c r="M111" s="40" t="s">
        <v>72</v>
      </c>
      <c r="N111" s="41" t="s">
        <v>205</v>
      </c>
      <c r="O111" s="41" t="s">
        <v>404</v>
      </c>
      <c r="P111" s="42" t="s">
        <v>493</v>
      </c>
    </row>
    <row r="112" spans="1:16" s="23" customFormat="1" ht="15" x14ac:dyDescent="0.2">
      <c r="A112" s="70">
        <v>112</v>
      </c>
      <c r="B112" s="94">
        <v>2244</v>
      </c>
      <c r="C112" s="25" t="s">
        <v>197</v>
      </c>
      <c r="D112" s="88" t="s">
        <v>302</v>
      </c>
      <c r="E112" s="89" t="s">
        <v>471</v>
      </c>
      <c r="F112" s="90" t="s">
        <v>277</v>
      </c>
      <c r="G112" s="90" t="s">
        <v>219</v>
      </c>
      <c r="H112" s="25"/>
      <c r="I112" s="25"/>
      <c r="J112" s="91">
        <v>44480</v>
      </c>
      <c r="K112" s="25" t="s">
        <v>303</v>
      </c>
      <c r="L112" s="25" t="s">
        <v>304</v>
      </c>
      <c r="M112" s="25" t="s">
        <v>72</v>
      </c>
      <c r="N112" s="26"/>
      <c r="O112" s="25" t="s">
        <v>305</v>
      </c>
    </row>
    <row r="113" spans="1:16" s="23" customFormat="1" ht="15" x14ac:dyDescent="0.25">
      <c r="A113" s="70">
        <v>113</v>
      </c>
      <c r="B113" s="94"/>
      <c r="C113" s="25" t="s">
        <v>197</v>
      </c>
      <c r="D113" s="92" t="s">
        <v>306</v>
      </c>
      <c r="E113" s="71" t="s">
        <v>472</v>
      </c>
      <c r="F113" s="90" t="s">
        <v>277</v>
      </c>
      <c r="G113" s="90" t="s">
        <v>219</v>
      </c>
      <c r="H113" s="25"/>
      <c r="I113" s="25"/>
      <c r="J113" s="91">
        <v>44491</v>
      </c>
      <c r="K113" s="93" t="s">
        <v>303</v>
      </c>
      <c r="L113" s="93" t="s">
        <v>307</v>
      </c>
      <c r="M113" s="25" t="s">
        <v>72</v>
      </c>
      <c r="N113" s="26"/>
      <c r="O113" s="22" t="s">
        <v>305</v>
      </c>
    </row>
    <row r="114" spans="1:16" s="42" customFormat="1" ht="15" x14ac:dyDescent="0.25">
      <c r="A114" s="58">
        <v>114</v>
      </c>
      <c r="B114" s="84">
        <v>2248</v>
      </c>
      <c r="C114" s="38" t="s">
        <v>197</v>
      </c>
      <c r="D114" s="63" t="s">
        <v>309</v>
      </c>
      <c r="E114" s="64" t="s">
        <v>427</v>
      </c>
      <c r="F114" s="38" t="s">
        <v>277</v>
      </c>
      <c r="G114" s="38" t="s">
        <v>228</v>
      </c>
      <c r="H114" s="47"/>
      <c r="I114" s="47"/>
      <c r="J114" s="96">
        <v>44508</v>
      </c>
      <c r="K114" s="64" t="s">
        <v>312</v>
      </c>
      <c r="L114" s="64" t="s">
        <v>308</v>
      </c>
      <c r="M114" s="41" t="s">
        <v>176</v>
      </c>
      <c r="N114" s="47"/>
      <c r="O114" s="45" t="s">
        <v>425</v>
      </c>
      <c r="P114" s="97" t="s">
        <v>493</v>
      </c>
    </row>
    <row r="115" spans="1:16" s="42" customFormat="1" ht="15" x14ac:dyDescent="0.25">
      <c r="A115" s="58">
        <v>115</v>
      </c>
      <c r="B115" s="84">
        <v>2247</v>
      </c>
      <c r="C115" s="38" t="s">
        <v>197</v>
      </c>
      <c r="D115" s="63" t="s">
        <v>310</v>
      </c>
      <c r="E115" s="64" t="s">
        <v>428</v>
      </c>
      <c r="F115" s="38" t="s">
        <v>277</v>
      </c>
      <c r="G115" s="38" t="s">
        <v>228</v>
      </c>
      <c r="H115" s="47"/>
      <c r="I115" s="47"/>
      <c r="J115" s="96">
        <v>44508</v>
      </c>
      <c r="K115" s="64" t="s">
        <v>311</v>
      </c>
      <c r="L115" s="64" t="s">
        <v>308</v>
      </c>
      <c r="M115" s="41" t="s">
        <v>176</v>
      </c>
      <c r="N115" s="47"/>
      <c r="O115" s="45" t="s">
        <v>425</v>
      </c>
      <c r="P115" s="97" t="s">
        <v>493</v>
      </c>
    </row>
    <row r="116" spans="1:16" s="42" customFormat="1" ht="15" customHeight="1" x14ac:dyDescent="0.25">
      <c r="A116" s="58">
        <v>116</v>
      </c>
      <c r="B116" s="38"/>
      <c r="C116" s="38" t="s">
        <v>197</v>
      </c>
      <c r="D116" s="53" t="s">
        <v>338</v>
      </c>
      <c r="E116" s="38" t="s">
        <v>339</v>
      </c>
      <c r="F116" s="38" t="s">
        <v>277</v>
      </c>
      <c r="G116" s="40" t="s">
        <v>45</v>
      </c>
      <c r="H116" s="40"/>
      <c r="I116" s="40"/>
      <c r="J116" s="39">
        <v>44507</v>
      </c>
      <c r="K116" s="40" t="s">
        <v>340</v>
      </c>
      <c r="L116" s="40" t="s">
        <v>341</v>
      </c>
      <c r="M116" s="40" t="s">
        <v>105</v>
      </c>
      <c r="N116" s="41" t="s">
        <v>153</v>
      </c>
      <c r="O116" s="41" t="s">
        <v>273</v>
      </c>
      <c r="P116" s="97" t="s">
        <v>493</v>
      </c>
    </row>
    <row r="117" spans="1:16" s="42" customFormat="1" ht="15" customHeight="1" x14ac:dyDescent="0.25">
      <c r="A117" s="58">
        <v>117</v>
      </c>
      <c r="B117" s="38">
        <v>2250</v>
      </c>
      <c r="C117" s="38" t="s">
        <v>197</v>
      </c>
      <c r="D117" s="53" t="s">
        <v>350</v>
      </c>
      <c r="E117" s="77" t="s">
        <v>351</v>
      </c>
      <c r="F117" s="38" t="s">
        <v>277</v>
      </c>
      <c r="G117" s="38" t="s">
        <v>50</v>
      </c>
      <c r="H117" s="38"/>
      <c r="I117" s="38"/>
      <c r="J117" s="39">
        <v>44518</v>
      </c>
      <c r="K117" s="40" t="s">
        <v>352</v>
      </c>
      <c r="L117" s="40" t="s">
        <v>353</v>
      </c>
      <c r="M117" s="40" t="s">
        <v>165</v>
      </c>
      <c r="N117" s="41" t="s">
        <v>153</v>
      </c>
      <c r="O117" s="45" t="s">
        <v>354</v>
      </c>
      <c r="P117" s="42" t="s">
        <v>493</v>
      </c>
    </row>
    <row r="118" spans="1:16" s="42" customFormat="1" ht="15" x14ac:dyDescent="0.25">
      <c r="A118" s="58">
        <v>118</v>
      </c>
      <c r="B118" s="84">
        <v>2249</v>
      </c>
      <c r="C118" s="38" t="s">
        <v>197</v>
      </c>
      <c r="D118" s="61" t="s">
        <v>444</v>
      </c>
      <c r="E118" s="67" t="s">
        <v>445</v>
      </c>
      <c r="F118" s="55" t="s">
        <v>277</v>
      </c>
      <c r="G118" s="55" t="s">
        <v>44</v>
      </c>
      <c r="H118" s="47"/>
      <c r="I118" s="47"/>
      <c r="J118" s="48">
        <v>44515</v>
      </c>
      <c r="K118" s="64" t="s">
        <v>446</v>
      </c>
      <c r="L118" s="64" t="s">
        <v>447</v>
      </c>
      <c r="M118" s="41" t="s">
        <v>102</v>
      </c>
      <c r="N118" s="47"/>
      <c r="O118" s="45" t="s">
        <v>354</v>
      </c>
      <c r="P118" s="42" t="s">
        <v>493</v>
      </c>
    </row>
    <row r="119" spans="1:16" s="42" customFormat="1" ht="15" customHeight="1" x14ac:dyDescent="0.25">
      <c r="A119" s="58">
        <v>119</v>
      </c>
      <c r="B119" s="38">
        <v>2202</v>
      </c>
      <c r="C119" s="38" t="s">
        <v>197</v>
      </c>
      <c r="D119" s="53" t="s">
        <v>41</v>
      </c>
      <c r="E119" s="83" t="s">
        <v>464</v>
      </c>
      <c r="F119" s="55" t="s">
        <v>277</v>
      </c>
      <c r="G119" s="38" t="s">
        <v>44</v>
      </c>
      <c r="H119" s="44"/>
      <c r="I119" s="44"/>
      <c r="J119" s="39"/>
      <c r="K119" s="40"/>
      <c r="L119" s="40"/>
      <c r="M119" s="40"/>
      <c r="N119" s="47"/>
      <c r="O119" s="45" t="s">
        <v>456</v>
      </c>
    </row>
    <row r="120" spans="1:16" s="47" customFormat="1" x14ac:dyDescent="0.25">
      <c r="A120" s="58">
        <v>120</v>
      </c>
      <c r="B120" s="84"/>
      <c r="C120" s="65" t="s">
        <v>197</v>
      </c>
      <c r="D120" s="61" t="s">
        <v>431</v>
      </c>
      <c r="E120" s="47" t="s">
        <v>432</v>
      </c>
      <c r="F120" s="38" t="s">
        <v>277</v>
      </c>
      <c r="G120" s="55" t="s">
        <v>44</v>
      </c>
      <c r="J120" s="48">
        <v>44524</v>
      </c>
      <c r="K120" s="47" t="s">
        <v>433</v>
      </c>
      <c r="L120" s="41" t="s">
        <v>434</v>
      </c>
      <c r="M120" s="55" t="s">
        <v>435</v>
      </c>
      <c r="O120" s="41" t="s">
        <v>438</v>
      </c>
      <c r="P120" s="42" t="s">
        <v>493</v>
      </c>
    </row>
    <row r="121" spans="1:16" s="47" customFormat="1" x14ac:dyDescent="0.25">
      <c r="A121" s="58">
        <v>121</v>
      </c>
      <c r="B121" s="84"/>
      <c r="C121" s="65" t="s">
        <v>197</v>
      </c>
      <c r="D121" s="61" t="s">
        <v>436</v>
      </c>
      <c r="E121" s="41" t="s">
        <v>437</v>
      </c>
      <c r="F121" s="38" t="s">
        <v>277</v>
      </c>
      <c r="G121" s="55" t="s">
        <v>44</v>
      </c>
      <c r="J121" s="48">
        <v>44525</v>
      </c>
      <c r="K121" s="47" t="s">
        <v>433</v>
      </c>
      <c r="L121" s="41" t="s">
        <v>434</v>
      </c>
      <c r="M121" s="55" t="s">
        <v>435</v>
      </c>
      <c r="O121" s="41" t="s">
        <v>438</v>
      </c>
      <c r="P121" s="42" t="s">
        <v>493</v>
      </c>
    </row>
    <row r="122" spans="1:16" s="42" customFormat="1" x14ac:dyDescent="0.2">
      <c r="A122" s="58">
        <v>122</v>
      </c>
      <c r="B122" s="84"/>
      <c r="C122" s="65" t="s">
        <v>197</v>
      </c>
      <c r="D122" s="47" t="s">
        <v>457</v>
      </c>
      <c r="E122" s="66" t="s">
        <v>465</v>
      </c>
      <c r="F122" s="84" t="s">
        <v>277</v>
      </c>
      <c r="G122" s="84" t="s">
        <v>44</v>
      </c>
      <c r="H122" s="47"/>
      <c r="I122" s="47"/>
      <c r="J122" s="47"/>
      <c r="K122" s="47"/>
      <c r="L122" s="47"/>
      <c r="M122" s="47"/>
      <c r="N122" s="47"/>
      <c r="O122" s="45" t="s">
        <v>456</v>
      </c>
    </row>
    <row r="123" spans="1:16" s="42" customFormat="1" x14ac:dyDescent="0.2">
      <c r="A123" s="58">
        <v>123</v>
      </c>
      <c r="B123" s="84"/>
      <c r="C123" s="65" t="s">
        <v>197</v>
      </c>
      <c r="D123" s="47" t="s">
        <v>458</v>
      </c>
      <c r="E123" s="66" t="s">
        <v>466</v>
      </c>
      <c r="F123" s="84" t="s">
        <v>277</v>
      </c>
      <c r="G123" s="84" t="s">
        <v>44</v>
      </c>
      <c r="H123" s="47"/>
      <c r="I123" s="47"/>
      <c r="J123" s="47"/>
      <c r="K123" s="47"/>
      <c r="L123" s="47"/>
      <c r="M123" s="47"/>
      <c r="N123" s="47"/>
      <c r="O123" s="45" t="s">
        <v>456</v>
      </c>
    </row>
    <row r="124" spans="1:16" s="42" customFormat="1" x14ac:dyDescent="0.2">
      <c r="A124" s="58">
        <v>124</v>
      </c>
      <c r="B124" s="84"/>
      <c r="C124" s="65" t="s">
        <v>197</v>
      </c>
      <c r="D124" s="47" t="s">
        <v>459</v>
      </c>
      <c r="E124" s="66" t="s">
        <v>467</v>
      </c>
      <c r="F124" s="84" t="s">
        <v>277</v>
      </c>
      <c r="G124" s="84" t="s">
        <v>149</v>
      </c>
      <c r="H124" s="47"/>
      <c r="I124" s="47"/>
      <c r="J124" s="47"/>
      <c r="K124" s="47"/>
      <c r="L124" s="47"/>
      <c r="M124" s="47"/>
      <c r="N124" s="47"/>
      <c r="O124" s="45" t="s">
        <v>456</v>
      </c>
    </row>
    <row r="125" spans="1:16" s="42" customFormat="1" x14ac:dyDescent="0.2">
      <c r="A125" s="58">
        <v>125</v>
      </c>
      <c r="B125" s="84"/>
      <c r="C125" s="65" t="s">
        <v>197</v>
      </c>
      <c r="D125" s="47" t="s">
        <v>460</v>
      </c>
      <c r="E125" s="66" t="s">
        <v>468</v>
      </c>
      <c r="F125" s="84" t="s">
        <v>277</v>
      </c>
      <c r="G125" s="84" t="s">
        <v>44</v>
      </c>
      <c r="H125" s="47"/>
      <c r="I125" s="47"/>
      <c r="J125" s="47"/>
      <c r="K125" s="47"/>
      <c r="L125" s="47"/>
      <c r="M125" s="47"/>
      <c r="N125" s="47"/>
      <c r="O125" s="45" t="s">
        <v>456</v>
      </c>
    </row>
    <row r="126" spans="1:16" s="42" customFormat="1" x14ac:dyDescent="0.2">
      <c r="A126" s="58">
        <v>126</v>
      </c>
      <c r="B126" s="84"/>
      <c r="C126" s="65" t="s">
        <v>197</v>
      </c>
      <c r="D126" s="47" t="s">
        <v>461</v>
      </c>
      <c r="E126" s="66" t="s">
        <v>469</v>
      </c>
      <c r="F126" s="84" t="s">
        <v>277</v>
      </c>
      <c r="G126" s="84" t="s">
        <v>149</v>
      </c>
      <c r="H126" s="47"/>
      <c r="I126" s="47"/>
      <c r="J126" s="47"/>
      <c r="K126" s="47"/>
      <c r="L126" s="47"/>
      <c r="M126" s="47"/>
      <c r="N126" s="47"/>
      <c r="O126" s="45" t="s">
        <v>456</v>
      </c>
    </row>
    <row r="127" spans="1:16" s="42" customFormat="1" x14ac:dyDescent="0.2">
      <c r="A127" s="58">
        <v>127</v>
      </c>
      <c r="B127" s="84"/>
      <c r="C127" s="65" t="s">
        <v>197</v>
      </c>
      <c r="D127" s="41" t="s">
        <v>494</v>
      </c>
      <c r="E127" s="95" t="s">
        <v>495</v>
      </c>
      <c r="F127" s="84" t="s">
        <v>277</v>
      </c>
      <c r="G127" s="84" t="s">
        <v>45</v>
      </c>
      <c r="H127" s="47"/>
      <c r="I127" s="47"/>
      <c r="J127" s="96">
        <v>44292</v>
      </c>
      <c r="K127" s="41" t="s">
        <v>315</v>
      </c>
      <c r="L127" s="41" t="s">
        <v>496</v>
      </c>
      <c r="M127" s="40" t="s">
        <v>105</v>
      </c>
      <c r="N127" s="41" t="s">
        <v>153</v>
      </c>
      <c r="O127" s="41" t="s">
        <v>273</v>
      </c>
      <c r="P127" s="97" t="s">
        <v>493</v>
      </c>
    </row>
    <row r="128" spans="1:16" s="42" customFormat="1" x14ac:dyDescent="0.2">
      <c r="A128" s="58">
        <v>128</v>
      </c>
      <c r="B128" s="84"/>
      <c r="C128" s="65" t="s">
        <v>197</v>
      </c>
      <c r="D128" s="47" t="s">
        <v>462</v>
      </c>
      <c r="E128" s="67" t="s">
        <v>402</v>
      </c>
      <c r="F128" s="84" t="s">
        <v>277</v>
      </c>
      <c r="G128" s="84" t="s">
        <v>44</v>
      </c>
      <c r="H128" s="47"/>
      <c r="I128" s="47"/>
      <c r="J128" s="47"/>
      <c r="K128" s="47"/>
      <c r="L128" s="47"/>
      <c r="M128" s="55"/>
      <c r="N128" s="47"/>
      <c r="O128" s="45" t="s">
        <v>456</v>
      </c>
    </row>
    <row r="129" spans="1:15" s="42" customFormat="1" x14ac:dyDescent="0.2">
      <c r="A129" s="58">
        <v>129</v>
      </c>
      <c r="B129" s="84"/>
      <c r="C129" s="65" t="s">
        <v>197</v>
      </c>
      <c r="D129" s="47" t="s">
        <v>463</v>
      </c>
      <c r="E129" s="47" t="s">
        <v>470</v>
      </c>
      <c r="F129" s="84" t="s">
        <v>277</v>
      </c>
      <c r="G129" s="84" t="s">
        <v>44</v>
      </c>
      <c r="H129" s="47"/>
      <c r="I129" s="47"/>
      <c r="J129" s="47"/>
      <c r="K129" s="47"/>
      <c r="L129" s="47"/>
      <c r="M129" s="55"/>
      <c r="N129" s="47"/>
      <c r="O129" s="45" t="s">
        <v>456</v>
      </c>
    </row>
    <row r="130" spans="1:15" s="42" customFormat="1" ht="15.75" customHeight="1" x14ac:dyDescent="0.25">
      <c r="A130" s="58">
        <v>130</v>
      </c>
      <c r="B130" s="40">
        <v>2040</v>
      </c>
      <c r="C130" s="65" t="s">
        <v>197</v>
      </c>
      <c r="D130" s="85" t="s">
        <v>96</v>
      </c>
      <c r="E130" s="40" t="s">
        <v>375</v>
      </c>
      <c r="F130" s="40" t="s">
        <v>277</v>
      </c>
      <c r="G130" s="40" t="s">
        <v>97</v>
      </c>
      <c r="H130" s="44"/>
      <c r="I130" s="44"/>
      <c r="J130" s="39"/>
      <c r="K130" s="40" t="s">
        <v>497</v>
      </c>
      <c r="L130" s="40"/>
      <c r="M130" s="40"/>
      <c r="N130" s="41"/>
      <c r="O130" s="45" t="s">
        <v>456</v>
      </c>
    </row>
  </sheetData>
  <autoFilter ref="A1:P130" xr:uid="{00000000-0001-0000-0000-000000000000}"/>
  <mergeCells count="2">
    <mergeCell ref="K82:K83"/>
    <mergeCell ref="L82:L83"/>
  </mergeCells>
  <pageMargins left="0.26" right="0.24" top="0.17" bottom="0.18" header="0.31496062992125984" footer="0.17"/>
  <pageSetup scale="60"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90EE-4510-4542-908E-F722CCF73E17}">
  <dimension ref="A1:XFA9"/>
  <sheetViews>
    <sheetView workbookViewId="0"/>
  </sheetViews>
  <sheetFormatPr defaultRowHeight="12.75" x14ac:dyDescent="0.2"/>
  <cols>
    <col min="1" max="1" width="7.140625" bestFit="1" customWidth="1"/>
    <col min="2" max="3" width="25.7109375" bestFit="1" customWidth="1"/>
    <col min="4" max="4" width="26.140625" bestFit="1" customWidth="1"/>
  </cols>
  <sheetData>
    <row r="1" spans="1:4 16380:16381" x14ac:dyDescent="0.2">
      <c r="A1" s="1" t="s">
        <v>5</v>
      </c>
      <c r="B1" s="1" t="s">
        <v>478</v>
      </c>
      <c r="C1" s="69" t="s">
        <v>6</v>
      </c>
      <c r="D1" s="1" t="s">
        <v>276</v>
      </c>
      <c r="XEZ1" s="13" t="s">
        <v>6</v>
      </c>
      <c r="XFA1" s="13" t="s">
        <v>259</v>
      </c>
    </row>
    <row r="2" spans="1:4 16380:16381" x14ac:dyDescent="0.2">
      <c r="A2" s="4">
        <v>1</v>
      </c>
      <c r="B2" s="4" t="s">
        <v>479</v>
      </c>
      <c r="C2" s="4" t="s">
        <v>480</v>
      </c>
      <c r="D2" s="4" t="s">
        <v>456</v>
      </c>
      <c r="XEZ2" s="13" t="s">
        <v>258</v>
      </c>
      <c r="XFA2" s="13" t="s">
        <v>260</v>
      </c>
    </row>
    <row r="3" spans="1:4 16380:16381" x14ac:dyDescent="0.2">
      <c r="A3" s="4">
        <v>2</v>
      </c>
      <c r="B3" s="4" t="s">
        <v>481</v>
      </c>
      <c r="C3" s="4" t="s">
        <v>261</v>
      </c>
      <c r="D3" s="4" t="s">
        <v>456</v>
      </c>
      <c r="XEZ3" s="13" t="s">
        <v>261</v>
      </c>
      <c r="XFA3" s="13" t="s">
        <v>262</v>
      </c>
    </row>
    <row r="4" spans="1:4 16380:16381" ht="15" x14ac:dyDescent="0.25">
      <c r="A4" s="4">
        <v>3</v>
      </c>
      <c r="B4" s="4" t="s">
        <v>482</v>
      </c>
      <c r="C4" s="4" t="s">
        <v>483</v>
      </c>
      <c r="D4" s="4" t="s">
        <v>456</v>
      </c>
      <c r="XEZ4" s="14" t="s">
        <v>263</v>
      </c>
      <c r="XFA4" s="15" t="s">
        <v>268</v>
      </c>
    </row>
    <row r="5" spans="1:4 16380:16381" ht="15" x14ac:dyDescent="0.25">
      <c r="XEZ5" s="14" t="s">
        <v>264</v>
      </c>
      <c r="XFA5" s="15" t="s">
        <v>269</v>
      </c>
    </row>
    <row r="6" spans="1:4 16380:16381" ht="15" x14ac:dyDescent="0.25">
      <c r="XEZ6" s="14" t="s">
        <v>265</v>
      </c>
      <c r="XFA6" s="15" t="s">
        <v>270</v>
      </c>
    </row>
    <row r="7" spans="1:4 16380:16381" ht="15" x14ac:dyDescent="0.25">
      <c r="XEZ7" s="14" t="s">
        <v>266</v>
      </c>
      <c r="XFA7" s="15" t="s">
        <v>270</v>
      </c>
    </row>
    <row r="8" spans="1:4 16380:16381" x14ac:dyDescent="0.2">
      <c r="XEZ8" s="14" t="s">
        <v>267</v>
      </c>
      <c r="XFA8" s="16" t="s">
        <v>271</v>
      </c>
    </row>
    <row r="9" spans="1:4 16380:16381" ht="15" x14ac:dyDescent="0.25">
      <c r="XEZ9" s="17" t="s">
        <v>272</v>
      </c>
      <c r="XFA9" s="15" t="s">
        <v>270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workbookViewId="0">
      <selection activeCell="A2" sqref="A2"/>
    </sheetView>
  </sheetViews>
  <sheetFormatPr defaultRowHeight="12.75" x14ac:dyDescent="0.2"/>
  <cols>
    <col min="1" max="1" width="21.140625" bestFit="1" customWidth="1"/>
    <col min="2" max="2" width="16.28515625" customWidth="1"/>
    <col min="3" max="3" width="13.28515625" customWidth="1"/>
    <col min="4" max="4" width="10.140625" bestFit="1" customWidth="1"/>
    <col min="5" max="5" width="18.85546875" customWidth="1"/>
    <col min="6" max="6" width="16.7109375" customWidth="1"/>
    <col min="7" max="7" width="28.85546875" customWidth="1"/>
    <col min="8" max="8" width="9.140625" customWidth="1"/>
    <col min="9" max="9" width="26.140625" bestFit="1" customWidth="1"/>
  </cols>
  <sheetData>
    <row r="1" spans="1:9" x14ac:dyDescent="0.2">
      <c r="A1" s="1" t="s">
        <v>4</v>
      </c>
      <c r="B1" s="2" t="s">
        <v>6</v>
      </c>
      <c r="C1" s="2" t="s">
        <v>53</v>
      </c>
      <c r="D1" s="2" t="s">
        <v>54</v>
      </c>
      <c r="E1" s="1" t="s">
        <v>162</v>
      </c>
      <c r="F1" s="1" t="s">
        <v>163</v>
      </c>
      <c r="G1" s="3" t="s">
        <v>61</v>
      </c>
      <c r="H1" s="12" t="s">
        <v>152</v>
      </c>
      <c r="I1" s="5" t="s">
        <v>90</v>
      </c>
    </row>
    <row r="2" spans="1:9" x14ac:dyDescent="0.2">
      <c r="A2" s="4" t="s">
        <v>193</v>
      </c>
      <c r="B2" s="4" t="s">
        <v>194</v>
      </c>
      <c r="C2" s="7">
        <v>44197</v>
      </c>
      <c r="D2" s="7">
        <v>44561</v>
      </c>
      <c r="E2" s="4">
        <v>17000</v>
      </c>
      <c r="F2" s="4" t="s">
        <v>164</v>
      </c>
      <c r="G2" s="4" t="s">
        <v>161</v>
      </c>
      <c r="H2" s="11" t="s">
        <v>153</v>
      </c>
      <c r="I2" s="4"/>
    </row>
    <row r="3" spans="1:9" x14ac:dyDescent="0.2">
      <c r="A3" s="4" t="s">
        <v>195</v>
      </c>
      <c r="B3" s="4" t="s">
        <v>196</v>
      </c>
      <c r="C3" s="7">
        <v>44094</v>
      </c>
      <c r="D3" s="7">
        <v>44458</v>
      </c>
      <c r="E3" s="4">
        <v>19044</v>
      </c>
      <c r="F3" s="4" t="s">
        <v>164</v>
      </c>
      <c r="G3" s="8" t="s">
        <v>189</v>
      </c>
      <c r="H3" s="11" t="s">
        <v>153</v>
      </c>
      <c r="I3" s="4"/>
    </row>
    <row r="4" spans="1:9" x14ac:dyDescent="0.2">
      <c r="A4" s="4" t="s">
        <v>484</v>
      </c>
      <c r="B4" s="4" t="s">
        <v>485</v>
      </c>
      <c r="C4" s="7">
        <v>44530</v>
      </c>
      <c r="D4" s="4"/>
      <c r="E4" s="4"/>
      <c r="F4" s="4"/>
      <c r="G4" s="8" t="s">
        <v>190</v>
      </c>
      <c r="I4" t="s">
        <v>456</v>
      </c>
    </row>
    <row r="5" spans="1:9" x14ac:dyDescent="0.2">
      <c r="A5" s="4"/>
      <c r="B5" s="4"/>
      <c r="C5" s="4"/>
      <c r="D5" s="4"/>
      <c r="E5" s="4"/>
      <c r="F5" s="4"/>
      <c r="G5" s="4"/>
    </row>
    <row r="6" spans="1:9" x14ac:dyDescent="0.2">
      <c r="A6" s="4"/>
      <c r="B6" s="4"/>
      <c r="C6" s="4"/>
      <c r="D6" s="4"/>
      <c r="E6" s="4"/>
      <c r="F6" s="4"/>
      <c r="G6" s="4"/>
    </row>
    <row r="7" spans="1:9" x14ac:dyDescent="0.2">
      <c r="A7" s="4"/>
      <c r="B7" s="4"/>
      <c r="C7" s="4"/>
      <c r="D7" s="4"/>
      <c r="E7" s="4"/>
      <c r="F7" s="4"/>
      <c r="G7" s="4"/>
    </row>
    <row r="8" spans="1:9" x14ac:dyDescent="0.2">
      <c r="A8" s="4"/>
      <c r="B8" s="4"/>
      <c r="C8" s="4"/>
      <c r="D8" s="4"/>
      <c r="E8" s="4"/>
      <c r="F8" s="4"/>
      <c r="G8" s="4"/>
    </row>
    <row r="9" spans="1:9" x14ac:dyDescent="0.2">
      <c r="A9" s="4"/>
      <c r="B9" s="4"/>
      <c r="C9" s="4"/>
      <c r="D9" s="4"/>
      <c r="E9" s="4"/>
      <c r="F9" s="4"/>
      <c r="G9" s="4"/>
    </row>
    <row r="10" spans="1:9" x14ac:dyDescent="0.2">
      <c r="A10" s="4"/>
      <c r="B10" s="4"/>
      <c r="C10" s="4"/>
      <c r="D10" s="4"/>
      <c r="E10" s="4"/>
      <c r="F10" s="4"/>
      <c r="G10" s="4"/>
    </row>
    <row r="11" spans="1:9" x14ac:dyDescent="0.2">
      <c r="A11" s="4"/>
      <c r="B11" s="4"/>
      <c r="C11" s="4"/>
      <c r="D11" s="4"/>
      <c r="E11" s="4"/>
      <c r="F11" s="4"/>
      <c r="G11" s="4"/>
    </row>
    <row r="12" spans="1:9" x14ac:dyDescent="0.2">
      <c r="A12" s="4"/>
      <c r="B12" s="4"/>
      <c r="C12" s="4"/>
      <c r="D12" s="4"/>
      <c r="E12" s="4"/>
      <c r="F12" s="4"/>
      <c r="G12" s="4"/>
    </row>
    <row r="13" spans="1:9" x14ac:dyDescent="0.2">
      <c r="A13" s="4"/>
      <c r="B13" s="4"/>
      <c r="C13" s="4"/>
      <c r="D13" s="4"/>
      <c r="E13" s="4"/>
      <c r="F13" s="4"/>
      <c r="G13" s="4"/>
    </row>
    <row r="14" spans="1:9" x14ac:dyDescent="0.2">
      <c r="A14" s="4"/>
      <c r="B14" s="4"/>
      <c r="C14" s="4"/>
      <c r="D14" s="4"/>
      <c r="E14" s="4"/>
      <c r="F14" s="4"/>
      <c r="G14" s="4"/>
    </row>
    <row r="15" spans="1:9" x14ac:dyDescent="0.2">
      <c r="A15" s="4"/>
      <c r="B15" s="4"/>
      <c r="C15" s="4"/>
      <c r="D15" s="4"/>
      <c r="E15" s="4"/>
      <c r="F15" s="4"/>
      <c r="G15" s="4"/>
    </row>
    <row r="16" spans="1:9" x14ac:dyDescent="0.2">
      <c r="A16" s="4"/>
      <c r="B16" s="4"/>
      <c r="C16" s="4"/>
      <c r="D16" s="4"/>
      <c r="E16" s="4"/>
      <c r="F16" s="4"/>
      <c r="G16" s="4"/>
    </row>
    <row r="17" spans="1:7" x14ac:dyDescent="0.2">
      <c r="A17" s="4"/>
      <c r="B17" s="4"/>
      <c r="C17" s="4"/>
      <c r="D17" s="4"/>
      <c r="E17" s="4"/>
      <c r="F17" s="4"/>
      <c r="G17" s="4"/>
    </row>
    <row r="18" spans="1:7" x14ac:dyDescent="0.2">
      <c r="A18" s="4"/>
      <c r="B18" s="4"/>
      <c r="C18" s="4"/>
      <c r="D18" s="4"/>
      <c r="E18" s="4"/>
      <c r="F18" s="4"/>
      <c r="G18" s="4"/>
    </row>
    <row r="19" spans="1:7" x14ac:dyDescent="0.2">
      <c r="A19" s="4"/>
      <c r="B19" s="4"/>
      <c r="C19" s="4"/>
      <c r="D19" s="4"/>
      <c r="E19" s="4"/>
      <c r="F19" s="4"/>
      <c r="G19" s="4"/>
    </row>
    <row r="20" spans="1:7" x14ac:dyDescent="0.2">
      <c r="A20" s="4"/>
      <c r="B20" s="4"/>
      <c r="C20" s="4"/>
      <c r="D20" s="4"/>
      <c r="E20" s="4"/>
      <c r="F20" s="4"/>
      <c r="G20" s="4"/>
    </row>
    <row r="21" spans="1:7" x14ac:dyDescent="0.2">
      <c r="A21" s="4"/>
      <c r="B21" s="4"/>
      <c r="C21" s="4"/>
      <c r="D21" s="4"/>
      <c r="E21" s="4"/>
      <c r="F21" s="4"/>
      <c r="G21" s="4"/>
    </row>
    <row r="22" spans="1:7" x14ac:dyDescent="0.2">
      <c r="A22" s="4"/>
      <c r="B22" s="4"/>
      <c r="C22" s="4"/>
      <c r="D22" s="4"/>
      <c r="E22" s="4"/>
      <c r="F22" s="4"/>
      <c r="G22" s="4"/>
    </row>
    <row r="23" spans="1:7" x14ac:dyDescent="0.2">
      <c r="A23" s="4"/>
      <c r="B23" s="4"/>
      <c r="C23" s="4"/>
      <c r="D23" s="4"/>
      <c r="E23" s="4"/>
      <c r="F23" s="4"/>
      <c r="G23" s="4"/>
    </row>
    <row r="24" spans="1:7" x14ac:dyDescent="0.2">
      <c r="A24" s="4"/>
      <c r="B24" s="4"/>
      <c r="C24" s="4"/>
      <c r="D24" s="4"/>
      <c r="E24" s="4"/>
      <c r="F24" s="4"/>
      <c r="G24" s="4"/>
    </row>
    <row r="25" spans="1:7" x14ac:dyDescent="0.2">
      <c r="A25" s="4"/>
      <c r="B25" s="4"/>
      <c r="C25" s="4"/>
      <c r="D25" s="4"/>
      <c r="E25" s="4"/>
      <c r="F25" s="4"/>
      <c r="G25" s="4"/>
    </row>
    <row r="26" spans="1:7" x14ac:dyDescent="0.2">
      <c r="A26" s="4"/>
      <c r="B26" s="4"/>
      <c r="C26" s="4"/>
      <c r="D26" s="4"/>
      <c r="E26" s="4"/>
      <c r="F26" s="4"/>
      <c r="G26" s="4"/>
    </row>
    <row r="27" spans="1:7" x14ac:dyDescent="0.2">
      <c r="A27" s="4"/>
      <c r="B27" s="4"/>
      <c r="C27" s="4"/>
      <c r="D27" s="4"/>
      <c r="E27" s="4"/>
      <c r="F27" s="4"/>
      <c r="G27" s="4"/>
    </row>
  </sheetData>
  <pageMargins left="0.33"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0713F-2B33-4E2D-87B3-ED6033B7CCA6}">
  <dimension ref="A1:G4"/>
  <sheetViews>
    <sheetView workbookViewId="0">
      <selection activeCell="G3" sqref="G3"/>
    </sheetView>
  </sheetViews>
  <sheetFormatPr defaultRowHeight="12.75" x14ac:dyDescent="0.2"/>
  <cols>
    <col min="1" max="1" width="7.140625" bestFit="1" customWidth="1"/>
    <col min="2" max="2" width="12.7109375" bestFit="1" customWidth="1"/>
    <col min="3" max="3" width="24" bestFit="1" customWidth="1"/>
    <col min="4" max="6" width="24" customWidth="1"/>
    <col min="7" max="7" width="26.42578125" bestFit="1" customWidth="1"/>
  </cols>
  <sheetData>
    <row r="1" spans="1:7" x14ac:dyDescent="0.2">
      <c r="A1" s="1" t="s">
        <v>5</v>
      </c>
      <c r="B1" s="1" t="s">
        <v>478</v>
      </c>
      <c r="C1" s="69" t="s">
        <v>6</v>
      </c>
      <c r="D1" s="69" t="s">
        <v>322</v>
      </c>
      <c r="E1" s="69" t="s">
        <v>541</v>
      </c>
      <c r="F1" s="69" t="s">
        <v>542</v>
      </c>
      <c r="G1" s="1" t="s">
        <v>276</v>
      </c>
    </row>
    <row r="2" spans="1:7" ht="15.75" x14ac:dyDescent="0.2">
      <c r="A2">
        <v>1</v>
      </c>
      <c r="B2" t="s">
        <v>486</v>
      </c>
      <c r="C2" t="s">
        <v>487</v>
      </c>
      <c r="D2" s="125" t="s">
        <v>540</v>
      </c>
      <c r="E2" s="126">
        <v>44476</v>
      </c>
      <c r="F2" s="124">
        <v>44926</v>
      </c>
      <c r="G2" s="13" t="s">
        <v>371</v>
      </c>
    </row>
    <row r="3" spans="1:7" x14ac:dyDescent="0.2">
      <c r="A3">
        <v>2</v>
      </c>
      <c r="B3" t="s">
        <v>489</v>
      </c>
      <c r="C3" t="s">
        <v>490</v>
      </c>
      <c r="G3" t="s">
        <v>488</v>
      </c>
    </row>
    <row r="4" spans="1:7" x14ac:dyDescent="0.2">
      <c r="A4">
        <v>3</v>
      </c>
      <c r="B4" t="s">
        <v>489</v>
      </c>
      <c r="C4" t="s">
        <v>491</v>
      </c>
      <c r="G4" t="s">
        <v>488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A5CA9B36400E448E42EA1DBEE9ED5B" ma:contentTypeVersion="11" ma:contentTypeDescription="Create a new document." ma:contentTypeScope="" ma:versionID="ccf51db4f7c80f7649bed3d51eb36b88">
  <xsd:schema xmlns:xsd="http://www.w3.org/2001/XMLSchema" xmlns:xs="http://www.w3.org/2001/XMLSchema" xmlns:p="http://schemas.microsoft.com/office/2006/metadata/properties" xmlns:ns2="54b309c7-142f-4b21-b8dc-96bd18d2127d" xmlns:ns3="bade94f1-05a2-4c0c-ae44-0af70ed0198d" targetNamespace="http://schemas.microsoft.com/office/2006/metadata/properties" ma:root="true" ma:fieldsID="a6f4804f841ffb3f1117ace3f7b924a9" ns2:_="" ns3:_="">
    <xsd:import namespace="54b309c7-142f-4b21-b8dc-96bd18d2127d"/>
    <xsd:import namespace="bade94f1-05a2-4c0c-ae44-0af70ed019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b309c7-142f-4b21-b8dc-96bd18d21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44a6b3-1231-42f6-9b2f-2356c71105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de94f1-05a2-4c0c-ae44-0af70ed0198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3ca5e55-1aad-4c59-a39f-8be141f18ebc}" ma:internalName="TaxCatchAll" ma:showField="CatchAllData" ma:web="bade94f1-05a2-4c0c-ae44-0af70ed019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4b309c7-142f-4b21-b8dc-96bd18d2127d">
      <Terms xmlns="http://schemas.microsoft.com/office/infopath/2007/PartnerControls"/>
    </lcf76f155ced4ddcb4097134ff3c332f>
    <TaxCatchAll xmlns="bade94f1-05a2-4c0c-ae44-0af70ed0198d" xsi:nil="true"/>
  </documentManagement>
</p:properties>
</file>

<file path=customXml/itemProps1.xml><?xml version="1.0" encoding="utf-8"?>
<ds:datastoreItem xmlns:ds="http://schemas.openxmlformats.org/officeDocument/2006/customXml" ds:itemID="{7474AE37-FD0F-4046-90A2-2ECEAD27BE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b309c7-142f-4b21-b8dc-96bd18d2127d"/>
    <ds:schemaRef ds:uri="bade94f1-05a2-4c0c-ae44-0af70ed019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D20BC3-4F61-465C-B195-67056E8CEF8D}">
  <ds:schemaRefs>
    <ds:schemaRef ds:uri="http://schemas.microsoft.com/sharepoint/v3/contenttype/forms"/>
  </ds:schemaRefs>
</ds:datastoreItem>
</file>

<file path=customXml/itemProps3.xml><?xml version="1.0" encoding="utf-8"?>
<ds:datastoreItem xmlns:ds="http://schemas.openxmlformats.org/officeDocument/2006/customXml" ds:itemID="{2110AA01-495C-493D-81D6-B4BA1301C430}">
  <ds:schemaRefs>
    <ds:schemaRef ds:uri="http://schemas.microsoft.com/office/2006/metadata/properties"/>
    <ds:schemaRef ds:uri="http://schemas.microsoft.com/office/infopath/2007/PartnerControls"/>
    <ds:schemaRef ds:uri="54b309c7-142f-4b21-b8dc-96bd18d2127d"/>
    <ds:schemaRef ds:uri="bade94f1-05a2-4c0c-ae44-0af70ed0198d"/>
  </ds:schemaRefs>
</ds:datastoreItem>
</file>

<file path=docMetadata/LabelInfo.xml><?xml version="1.0" encoding="utf-8"?>
<clbl:labelList xmlns:clbl="http://schemas.microsoft.com/office/2020/mipLabelMetadata">
  <clbl:label id="{9324bd15-b7b3-4e59-b23e-9f53050507bb}" enabled="0" method="" siteId="{9324bd15-b7b3-4e59-b23e-9f53050507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Macro1</vt:lpstr>
      <vt:lpstr>Agreement detail (R)</vt:lpstr>
      <vt:lpstr>SD location</vt:lpstr>
      <vt:lpstr>Sheet1</vt:lpstr>
      <vt:lpstr>Agreement detail</vt:lpstr>
      <vt:lpstr>Fumigation</vt:lpstr>
      <vt:lpstr>Security service agreement</vt:lpstr>
      <vt:lpstr>Surveyor</vt:lpstr>
      <vt:lpstr>'Agreement detail'!_Hlk80374828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Uday Mestry</cp:lastModifiedBy>
  <cp:revision>1</cp:revision>
  <cp:lastPrinted>2022-02-07T13:33:20Z</cp:lastPrinted>
  <dcterms:created xsi:type="dcterms:W3CDTF">2020-12-15T07:44:10Z</dcterms:created>
  <dcterms:modified xsi:type="dcterms:W3CDTF">2026-05-20T06:42:52Z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0x0101008FA5CA9B36400E448E42EA1DBEE9ED5B</vt:lpwstr>
  </property>
  <property fmtid="{D5CDD505-2E9C-101B-9397-08002B2CF9AE}" pid="3" name="MediaServiceImageTags">
    <vt:lpwstr/>
  </property>
</Properties>
</file>